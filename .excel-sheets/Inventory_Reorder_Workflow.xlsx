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Inventory" sheetId="2" state="visible" r:id="rId2"/>
    <sheet name="Analysis" sheetId="3" state="visible" r:id="rId3"/>
    <sheet name="Reorder Decisions" sheetId="4" state="visible" r:id="rId4"/>
  </sheets>
  <definedNames>
    <definedName name="SafetyStockDays">Parameters!$B$5</definedName>
    <definedName name="DefaultLeadTime">Parameters!$B$6</definedName>
    <definedName name="ReorderMultiplier">Parameters!$B$7</definedName>
    <definedName name="MinOrderQty">Parameters!$B$8</definedName>
    <definedName name="MaxOrderQty">Parameters!$B$9</definedName>
    <definedName name="LowValueThreshold">Parameters!$B$12</definedName>
    <definedName name="HighValueThreshold">Parameters!$B$13</definedName>
    <definedName name="MaxOrderCost">Parameters!$B$14</definedName>
    <definedName name="MonthlyBudget">Parameters!$B$15</definedName>
    <definedName name="CriticalDays">Parameters!$B$18</definedName>
    <definedName name="WarningDays">Parameters!$B$19</definedName>
    <definedName name="OverstockDays">Parameters!$B$20</definedName>
    <definedName name="BulkThreshold">Parameters!$B$26</definedName>
    <definedName name="BulkDiscount">Parameters!$B$27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$#,##0"/>
    <numFmt numFmtId="166" formatCode="YYYY-MM-DD"/>
    <numFmt numFmtId="167" formatCode="0.0"/>
    <numFmt numFmtId="168" formatCode="0.0%"/>
  </numFmts>
  <fonts count="10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000FF"/>
    </font>
    <font>
      <b val="1"/>
      <sz val="16"/>
    </font>
    <font>
      <b val="1"/>
      <color rgb="00FFFFFF"/>
      <sz val="12"/>
    </font>
    <font>
      <b val="1"/>
      <sz val="12"/>
    </font>
    <font>
      <b val="1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3" fillId="0" borderId="0" pivotButton="0" quotePrefix="0" xfId="0"/>
    <xf numFmtId="165" fontId="3" fillId="0" borderId="0" pivotButton="0" quotePrefix="0" xfId="0"/>
    <xf numFmtId="167" fontId="3" fillId="0" borderId="0" pivotButton="0" quotePrefix="0" xfId="0"/>
    <xf numFmtId="1" fontId="3" fillId="0" borderId="0" pivotButton="0" quotePrefix="0" xfId="0"/>
    <xf numFmtId="0" fontId="7" fillId="0" borderId="0" pivotButton="0" quotePrefix="0" xfId="0"/>
    <xf numFmtId="164" fontId="3" fillId="0" borderId="0" pivotButton="0" quotePrefix="0" xfId="0"/>
    <xf numFmtId="168" fontId="3" fillId="0" borderId="0" pivotButton="0" quotePrefix="0" xfId="0"/>
    <xf numFmtId="0" fontId="2" fillId="2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40" customWidth="1" min="3" max="3"/>
  </cols>
  <sheetData>
    <row r="1">
      <c r="A1" s="1" t="inlineStr">
        <is>
          <t>Inventory Reorder Parameters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Description</t>
        </is>
      </c>
    </row>
    <row r="4">
      <c r="A4" s="3" t="inlineStr">
        <is>
          <t>REORDER SETTINGS</t>
        </is>
      </c>
    </row>
    <row r="5">
      <c r="A5" t="inlineStr">
        <is>
          <t>Safety Stock Days</t>
        </is>
      </c>
      <c r="B5" s="4" t="n">
        <v>7</v>
      </c>
      <c r="C5" t="inlineStr">
        <is>
          <t>Extra days of stock to maintain</t>
        </is>
      </c>
    </row>
    <row r="6">
      <c r="A6" t="inlineStr">
        <is>
          <t>Default Lead Time (days)</t>
        </is>
      </c>
      <c r="B6" s="4" t="n">
        <v>5</v>
      </c>
      <c r="C6" t="inlineStr">
        <is>
          <t>Days to receive order if not specified</t>
        </is>
      </c>
    </row>
    <row r="7">
      <c r="A7" t="inlineStr">
        <is>
          <t>Reorder Point Multiplier</t>
        </is>
      </c>
      <c r="B7" s="4" t="n">
        <v>1.2</v>
      </c>
      <c r="C7" t="inlineStr">
        <is>
          <t>Multiplier for reorder point calculation</t>
        </is>
      </c>
    </row>
    <row r="8">
      <c r="A8" t="inlineStr">
        <is>
          <t>Min Order Quantity</t>
        </is>
      </c>
      <c r="B8" s="4" t="n">
        <v>10</v>
      </c>
      <c r="C8" t="inlineStr">
        <is>
          <t>Minimum units per order</t>
        </is>
      </c>
    </row>
    <row r="9">
      <c r="A9" t="inlineStr">
        <is>
          <t>Max Order Quantity</t>
        </is>
      </c>
      <c r="B9" s="4" t="n">
        <v>500</v>
      </c>
      <c r="C9" t="inlineStr">
        <is>
          <t>Maximum units per order</t>
        </is>
      </c>
    </row>
    <row r="11">
      <c r="A11" s="3" t="inlineStr">
        <is>
          <t>COST THRESHOLDS</t>
        </is>
      </c>
    </row>
    <row r="12">
      <c r="A12" t="inlineStr">
        <is>
          <t>Low Value Threshold ($)</t>
        </is>
      </c>
      <c r="B12" s="4" t="n">
        <v>50</v>
      </c>
      <c r="C12" t="inlineStr">
        <is>
          <t>Items below this are low priority</t>
        </is>
      </c>
    </row>
    <row r="13">
      <c r="A13" t="inlineStr">
        <is>
          <t>High Value Threshold ($)</t>
        </is>
      </c>
      <c r="B13" s="4" t="n">
        <v>500</v>
      </c>
      <c r="C13" t="inlineStr">
        <is>
          <t>Items above this need approval</t>
        </is>
      </c>
    </row>
    <row r="14">
      <c r="A14" t="inlineStr">
        <is>
          <t>Max Single Order Cost ($)</t>
        </is>
      </c>
      <c r="B14" s="4" t="n">
        <v>10000</v>
      </c>
      <c r="C14" t="inlineStr">
        <is>
          <t>Alert if order exceeds this</t>
        </is>
      </c>
    </row>
    <row r="15">
      <c r="A15" t="inlineStr">
        <is>
          <t>Monthly Budget ($)</t>
        </is>
      </c>
      <c r="B15" s="4" t="n">
        <v>50000</v>
      </c>
      <c r="C15" t="inlineStr">
        <is>
          <t>Monthly inventory budget</t>
        </is>
      </c>
    </row>
    <row r="17">
      <c r="A17" s="3" t="inlineStr">
        <is>
          <t>ALERT SETTINGS</t>
        </is>
      </c>
    </row>
    <row r="18">
      <c r="A18" t="inlineStr">
        <is>
          <t>Critical Stock Days</t>
        </is>
      </c>
      <c r="B18" s="4" t="n">
        <v>3</v>
      </c>
      <c r="C18" t="inlineStr">
        <is>
          <t>Alert if stock falls below this</t>
        </is>
      </c>
    </row>
    <row r="19">
      <c r="A19" t="inlineStr">
        <is>
          <t>Warning Stock Days</t>
        </is>
      </c>
      <c r="B19" s="4" t="n">
        <v>7</v>
      </c>
      <c r="C19" t="inlineStr">
        <is>
          <t>Warning if stock falls below this</t>
        </is>
      </c>
    </row>
    <row r="20">
      <c r="A20" t="inlineStr">
        <is>
          <t>Overstock Days</t>
        </is>
      </c>
      <c r="B20" s="4" t="n">
        <v>60</v>
      </c>
      <c r="C20" t="inlineStr">
        <is>
          <t>Flag if stock exceeds this many days</t>
        </is>
      </c>
    </row>
    <row r="21">
      <c r="A21" t="inlineStr">
        <is>
          <t>Stockout Cost Multiplier</t>
        </is>
      </c>
      <c r="B21" s="4" t="n">
        <v>2.5</v>
      </c>
      <c r="C21" t="inlineStr">
        <is>
          <t>Cost factor for stockout risk</t>
        </is>
      </c>
    </row>
    <row r="23">
      <c r="A23" s="3" t="inlineStr">
        <is>
          <t>SUPPLIER DEFAULTS</t>
        </is>
      </c>
    </row>
    <row r="24">
      <c r="A24" t="inlineStr">
        <is>
          <t>Primary Supplier Lead Time</t>
        </is>
      </c>
      <c r="B24" s="4" t="n">
        <v>5</v>
      </c>
      <c r="C24" t="inlineStr">
        <is>
          <t>Default lead time for primary supplier</t>
        </is>
      </c>
    </row>
    <row r="25">
      <c r="A25" t="inlineStr">
        <is>
          <t>Secondary Supplier Lead Time</t>
        </is>
      </c>
      <c r="B25" s="4" t="n">
        <v>7</v>
      </c>
      <c r="C25" t="inlineStr">
        <is>
          <t>Default lead time for backup supplier</t>
        </is>
      </c>
    </row>
    <row r="26">
      <c r="A26" t="inlineStr">
        <is>
          <t>Express Shipping Premium (%)</t>
        </is>
      </c>
      <c r="B26" s="4" t="n">
        <v>50</v>
      </c>
      <c r="C26" t="inlineStr">
        <is>
          <t>Extra cost for expedited shipping</t>
        </is>
      </c>
    </row>
    <row r="27">
      <c r="A27" t="inlineStr">
        <is>
          <t>Bulk Discount Threshold (units)</t>
        </is>
      </c>
      <c r="B27" s="4" t="n">
        <v>100</v>
      </c>
      <c r="C27" t="inlineStr">
        <is>
          <t>Quantity for bulk discount</t>
        </is>
      </c>
    </row>
    <row r="28">
      <c r="A28" t="inlineStr">
        <is>
          <t>Bulk Discount Rate (%)</t>
        </is>
      </c>
      <c r="B28" s="4" t="n">
        <v>10</v>
      </c>
      <c r="C28" t="inlineStr">
        <is>
          <t>Discount percentage for bulk orders</t>
        </is>
      </c>
    </row>
  </sheetData>
  <mergeCells count="5">
    <mergeCell ref="A11:C11"/>
    <mergeCell ref="A1:C1"/>
    <mergeCell ref="A23:C23"/>
    <mergeCell ref="A17:C17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14" customWidth="1" min="5" max="5"/>
    <col width="12" customWidth="1" min="6" max="6"/>
    <col width="14" customWidth="1" min="7" max="7"/>
    <col width="15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20" customWidth="1" min="14" max="14"/>
  </cols>
  <sheetData>
    <row r="1">
      <c r="A1" s="1" t="inlineStr">
        <is>
          <t>Inventory Data - Raw Input</t>
        </is>
      </c>
    </row>
    <row r="3">
      <c r="A3" s="5" t="inlineStr">
        <is>
          <t>SKU</t>
        </is>
      </c>
      <c r="B3" s="5" t="inlineStr">
        <is>
          <t>Product Name</t>
        </is>
      </c>
      <c r="C3" s="5" t="inlineStr">
        <is>
          <t>Category</t>
        </is>
      </c>
      <c r="D3" s="5" t="inlineStr">
        <is>
          <t>Current Stock</t>
        </is>
      </c>
      <c r="E3" s="5" t="inlineStr">
        <is>
          <t>Daily Sales Rate</t>
        </is>
      </c>
      <c r="F3" s="5" t="inlineStr">
        <is>
          <t>Unit Cost ($)</t>
        </is>
      </c>
      <c r="G3" s="5" t="inlineStr">
        <is>
          <t>Selling Price ($)</t>
        </is>
      </c>
      <c r="H3" s="5" t="inlineStr">
        <is>
          <t>Supplier</t>
        </is>
      </c>
      <c r="I3" s="5" t="inlineStr">
        <is>
          <t>Lead Time (days)</t>
        </is>
      </c>
      <c r="J3" s="5" t="inlineStr">
        <is>
          <t>Min Stock Level</t>
        </is>
      </c>
      <c r="K3" s="5" t="inlineStr">
        <is>
          <t>Max Stock Level</t>
        </is>
      </c>
      <c r="L3" s="5" t="inlineStr">
        <is>
          <t>Last Restock Date</t>
        </is>
      </c>
      <c r="M3" s="5" t="inlineStr">
        <is>
          <t>Last Order Qty</t>
        </is>
      </c>
      <c r="N3" s="5" t="inlineStr">
        <is>
          <t>Notes</t>
        </is>
      </c>
    </row>
    <row r="4">
      <c r="A4" t="inlineStr">
        <is>
          <t>EL-001</t>
        </is>
      </c>
      <c r="B4" t="inlineStr">
        <is>
          <t>USB Cable Type-C</t>
        </is>
      </c>
      <c r="C4" t="inlineStr">
        <is>
          <t>Electronics</t>
        </is>
      </c>
      <c r="D4" t="n">
        <v>7</v>
      </c>
      <c r="E4" t="n">
        <v>23.5</v>
      </c>
      <c r="F4" t="n">
        <v>50.98</v>
      </c>
      <c r="G4" t="n">
        <v>96.2</v>
      </c>
      <c r="H4" t="inlineStr">
        <is>
          <t>Acme Corp</t>
        </is>
      </c>
      <c r="I4" t="n">
        <v>9</v>
      </c>
      <c r="J4" t="n">
        <v>164</v>
      </c>
      <c r="K4" t="n">
        <v>1057</v>
      </c>
      <c r="L4" t="inlineStr">
        <is>
          <t>2026-01-18</t>
        </is>
      </c>
      <c r="M4" t="n">
        <v>193</v>
      </c>
      <c r="N4" t="inlineStr">
        <is>
          <t>New supplier</t>
        </is>
      </c>
    </row>
    <row r="5">
      <c r="A5" t="inlineStr">
        <is>
          <t>EL-002</t>
        </is>
      </c>
      <c r="B5" t="inlineStr">
        <is>
          <t>Wireless Mouse</t>
        </is>
      </c>
      <c r="C5" t="inlineStr">
        <is>
          <t>Electronics</t>
        </is>
      </c>
      <c r="D5" t="n">
        <v>24</v>
      </c>
      <c r="E5" t="n">
        <v>11.4</v>
      </c>
      <c r="F5" t="n">
        <v>60.06</v>
      </c>
      <c r="G5" t="n">
        <v>88.39</v>
      </c>
      <c r="H5" t="inlineStr">
        <is>
          <t>Acme Corp</t>
        </is>
      </c>
      <c r="I5" t="n">
        <v>9</v>
      </c>
      <c r="J5" t="n">
        <v>79</v>
      </c>
      <c r="K5" t="n">
        <v>513</v>
      </c>
      <c r="L5" t="inlineStr">
        <is>
          <t>2026-01-03</t>
        </is>
      </c>
      <c r="M5" t="n">
        <v>146</v>
      </c>
      <c r="N5" t="inlineStr"/>
    </row>
    <row r="6">
      <c r="A6" t="inlineStr">
        <is>
          <t>EL-003</t>
        </is>
      </c>
      <c r="B6" t="inlineStr">
        <is>
          <t>HDMI Adapter</t>
        </is>
      </c>
      <c r="C6" t="inlineStr">
        <is>
          <t>Electronics</t>
        </is>
      </c>
      <c r="D6" t="n">
        <v>19</v>
      </c>
      <c r="E6" t="n">
        <v>4.9</v>
      </c>
      <c r="F6" t="n">
        <v>20.92</v>
      </c>
      <c r="G6" t="n">
        <v>36.97</v>
      </c>
      <c r="H6" t="inlineStr">
        <is>
          <t>Global Supply</t>
        </is>
      </c>
      <c r="I6" t="n">
        <v>3</v>
      </c>
      <c r="J6" t="n">
        <v>34</v>
      </c>
      <c r="K6" t="n">
        <v>220</v>
      </c>
      <c r="L6" t="inlineStr">
        <is>
          <t>2026-01-10</t>
        </is>
      </c>
      <c r="M6" t="n">
        <v>160</v>
      </c>
      <c r="N6" t="inlineStr"/>
    </row>
    <row r="7">
      <c r="A7" t="inlineStr">
        <is>
          <t>EL-004</t>
        </is>
      </c>
      <c r="B7" t="inlineStr">
        <is>
          <t>Power Bank 10000mAh</t>
        </is>
      </c>
      <c r="C7" t="inlineStr">
        <is>
          <t>Electronics</t>
        </is>
      </c>
      <c r="D7" t="n">
        <v>246</v>
      </c>
      <c r="E7" t="n">
        <v>10.5</v>
      </c>
      <c r="F7" t="n">
        <v>85.43000000000001</v>
      </c>
      <c r="G7" t="n">
        <v>139.94</v>
      </c>
      <c r="H7" t="inlineStr">
        <is>
          <t>Direct Source</t>
        </is>
      </c>
      <c r="I7" t="n">
        <v>8</v>
      </c>
      <c r="J7" t="n">
        <v>73</v>
      </c>
      <c r="K7" t="n">
        <v>472</v>
      </c>
      <c r="L7" t="inlineStr">
        <is>
          <t>2026-01-01</t>
        </is>
      </c>
      <c r="M7" t="n">
        <v>151</v>
      </c>
      <c r="N7" t="inlineStr">
        <is>
          <t>Price increase pending</t>
        </is>
      </c>
    </row>
    <row r="8">
      <c r="A8" t="inlineStr">
        <is>
          <t>EL-005</t>
        </is>
      </c>
      <c r="B8" t="inlineStr">
        <is>
          <t>Bluetooth Speaker</t>
        </is>
      </c>
      <c r="C8" t="inlineStr">
        <is>
          <t>Electronics</t>
        </is>
      </c>
      <c r="D8" t="n">
        <v>220</v>
      </c>
      <c r="E8" t="n">
        <v>18.7</v>
      </c>
      <c r="F8" t="n">
        <v>127.52</v>
      </c>
      <c r="G8" t="n">
        <v>212.25</v>
      </c>
      <c r="H8" t="inlineStr">
        <is>
          <t>Wholesale Plus</t>
        </is>
      </c>
      <c r="I8" t="n">
        <v>8</v>
      </c>
      <c r="J8" t="n">
        <v>130</v>
      </c>
      <c r="K8" t="n">
        <v>841</v>
      </c>
      <c r="L8" t="inlineStr">
        <is>
          <t>2026-01-17</t>
        </is>
      </c>
      <c r="M8" t="n">
        <v>58</v>
      </c>
      <c r="N8" t="inlineStr"/>
    </row>
    <row r="9">
      <c r="A9" t="inlineStr">
        <is>
          <t>EL-006</t>
        </is>
      </c>
      <c r="B9" t="inlineStr">
        <is>
          <t>Webcam HD</t>
        </is>
      </c>
      <c r="C9" t="inlineStr">
        <is>
          <t>Electronics</t>
        </is>
      </c>
      <c r="D9" t="n">
        <v>35</v>
      </c>
      <c r="E9" t="n">
        <v>20.4</v>
      </c>
      <c r="F9" t="n">
        <v>37.97</v>
      </c>
      <c r="G9" t="n">
        <v>58.32</v>
      </c>
      <c r="H9" t="inlineStr">
        <is>
          <t>Wholesale Plus</t>
        </is>
      </c>
      <c r="I9" t="n">
        <v>4</v>
      </c>
      <c r="J9" t="n">
        <v>142</v>
      </c>
      <c r="K9" t="n">
        <v>917</v>
      </c>
      <c r="L9" t="inlineStr">
        <is>
          <t>2026-01-15</t>
        </is>
      </c>
      <c r="M9" t="n">
        <v>149</v>
      </c>
      <c r="N9" t="inlineStr">
        <is>
          <t>New supplier</t>
        </is>
      </c>
    </row>
    <row r="10">
      <c r="A10" t="inlineStr">
        <is>
          <t>OS-001</t>
        </is>
      </c>
      <c r="B10" t="inlineStr">
        <is>
          <t>A4 Paper Ream</t>
        </is>
      </c>
      <c r="C10" t="inlineStr">
        <is>
          <t>Office Supplies</t>
        </is>
      </c>
      <c r="D10" t="n">
        <v>7</v>
      </c>
      <c r="E10" t="n">
        <v>25.3</v>
      </c>
      <c r="F10" t="n">
        <v>20.09</v>
      </c>
      <c r="G10" t="n">
        <v>38.72</v>
      </c>
      <c r="H10" t="inlineStr">
        <is>
          <t>Global Supply</t>
        </is>
      </c>
      <c r="I10" t="n">
        <v>9</v>
      </c>
      <c r="J10" t="n">
        <v>177</v>
      </c>
      <c r="K10" t="n">
        <v>1138</v>
      </c>
      <c r="L10" t="inlineStr">
        <is>
          <t>2026-01-18</t>
        </is>
      </c>
      <c r="M10" t="n">
        <v>178</v>
      </c>
      <c r="N10" t="inlineStr"/>
    </row>
    <row r="11">
      <c r="A11" t="inlineStr">
        <is>
          <t>OS-002</t>
        </is>
      </c>
      <c r="B11" t="inlineStr">
        <is>
          <t>Ballpoint Pens (box)</t>
        </is>
      </c>
      <c r="C11" t="inlineStr">
        <is>
          <t>Office Supplies</t>
        </is>
      </c>
      <c r="D11" t="n">
        <v>296</v>
      </c>
      <c r="E11" t="n">
        <v>23.4</v>
      </c>
      <c r="F11" t="n">
        <v>36.85</v>
      </c>
      <c r="G11" t="n">
        <v>61.94</v>
      </c>
      <c r="H11" t="inlineStr">
        <is>
          <t>Global Supply</t>
        </is>
      </c>
      <c r="I11" t="n">
        <v>5</v>
      </c>
      <c r="J11" t="n">
        <v>163</v>
      </c>
      <c r="K11" t="n">
        <v>1053</v>
      </c>
      <c r="L11" t="inlineStr">
        <is>
          <t>2026-01-18</t>
        </is>
      </c>
      <c r="M11" t="n">
        <v>163</v>
      </c>
      <c r="N11" t="inlineStr">
        <is>
          <t>Price increase pending</t>
        </is>
      </c>
    </row>
    <row r="12">
      <c r="A12" t="inlineStr">
        <is>
          <t>OS-003</t>
        </is>
      </c>
      <c r="B12" t="inlineStr">
        <is>
          <t>Sticky Notes Pack</t>
        </is>
      </c>
      <c r="C12" t="inlineStr">
        <is>
          <t>Office Supplies</t>
        </is>
      </c>
      <c r="D12" t="n">
        <v>24</v>
      </c>
      <c r="E12" t="n">
        <v>14.8</v>
      </c>
      <c r="F12" t="n">
        <v>3.99</v>
      </c>
      <c r="G12" t="n">
        <v>7.42</v>
      </c>
      <c r="H12" t="inlineStr">
        <is>
          <t>FastShip Inc</t>
        </is>
      </c>
      <c r="I12" t="n">
        <v>9</v>
      </c>
      <c r="J12" t="n">
        <v>103</v>
      </c>
      <c r="K12" t="n">
        <v>666</v>
      </c>
      <c r="L12" t="inlineStr">
        <is>
          <t>2026-01-14</t>
        </is>
      </c>
      <c r="M12" t="n">
        <v>50</v>
      </c>
      <c r="N12" t="inlineStr"/>
    </row>
    <row r="13">
      <c r="A13" t="inlineStr">
        <is>
          <t>OS-004</t>
        </is>
      </c>
      <c r="B13" t="inlineStr">
        <is>
          <t>Stapler</t>
        </is>
      </c>
      <c r="C13" t="inlineStr">
        <is>
          <t>Office Supplies</t>
        </is>
      </c>
      <c r="D13" t="n">
        <v>231</v>
      </c>
      <c r="E13" t="n">
        <v>4.5</v>
      </c>
      <c r="F13" t="n">
        <v>23.36</v>
      </c>
      <c r="G13" t="n">
        <v>30.51</v>
      </c>
      <c r="H13" t="inlineStr">
        <is>
          <t>Direct Source</t>
        </is>
      </c>
      <c r="I13" t="n">
        <v>9</v>
      </c>
      <c r="J13" t="n">
        <v>31</v>
      </c>
      <c r="K13" t="n">
        <v>202</v>
      </c>
      <c r="L13" t="inlineStr">
        <is>
          <t>2026-01-03</t>
        </is>
      </c>
      <c r="M13" t="n">
        <v>189</v>
      </c>
      <c r="N13" t="inlineStr">
        <is>
          <t>Price increase pending</t>
        </is>
      </c>
    </row>
    <row r="14">
      <c r="A14" t="inlineStr">
        <is>
          <t>OS-005</t>
        </is>
      </c>
      <c r="B14" t="inlineStr">
        <is>
          <t>Binder Clips (box)</t>
        </is>
      </c>
      <c r="C14" t="inlineStr">
        <is>
          <t>Office Supplies</t>
        </is>
      </c>
      <c r="D14" t="n">
        <v>15</v>
      </c>
      <c r="E14" t="n">
        <v>9.4</v>
      </c>
      <c r="F14" t="n">
        <v>25.21</v>
      </c>
      <c r="G14" t="n">
        <v>46.02</v>
      </c>
      <c r="H14" t="inlineStr">
        <is>
          <t>FastShip Inc</t>
        </is>
      </c>
      <c r="I14" t="n">
        <v>9</v>
      </c>
      <c r="J14" t="n">
        <v>65</v>
      </c>
      <c r="K14" t="n">
        <v>423</v>
      </c>
      <c r="L14" t="inlineStr">
        <is>
          <t>2026-01-12</t>
        </is>
      </c>
      <c r="M14" t="n">
        <v>56</v>
      </c>
      <c r="N14" t="inlineStr"/>
    </row>
    <row r="15">
      <c r="A15" t="inlineStr">
        <is>
          <t>OS-006</t>
        </is>
      </c>
      <c r="B15" t="inlineStr">
        <is>
          <t>Whiteboard Markers</t>
        </is>
      </c>
      <c r="C15" t="inlineStr">
        <is>
          <t>Office Supplies</t>
        </is>
      </c>
      <c r="D15" t="n">
        <v>233</v>
      </c>
      <c r="E15" t="n">
        <v>26.4</v>
      </c>
      <c r="F15" t="n">
        <v>9.77</v>
      </c>
      <c r="G15" t="n">
        <v>17.27</v>
      </c>
      <c r="H15" t="inlineStr">
        <is>
          <t>Acme Corp</t>
        </is>
      </c>
      <c r="I15" t="n">
        <v>3</v>
      </c>
      <c r="J15" t="n">
        <v>184</v>
      </c>
      <c r="K15" t="n">
        <v>1188</v>
      </c>
      <c r="L15" t="inlineStr">
        <is>
          <t>2026-01-17</t>
        </is>
      </c>
      <c r="M15" t="n">
        <v>149</v>
      </c>
      <c r="N15" t="inlineStr">
        <is>
          <t>Seasonal</t>
        </is>
      </c>
    </row>
    <row r="16">
      <c r="A16" t="inlineStr">
        <is>
          <t>FU-001</t>
        </is>
      </c>
      <c r="B16" t="inlineStr">
        <is>
          <t>Office Chair</t>
        </is>
      </c>
      <c r="C16" t="inlineStr">
        <is>
          <t>Furniture</t>
        </is>
      </c>
      <c r="D16" t="n">
        <v>14</v>
      </c>
      <c r="E16" t="n">
        <v>23.7</v>
      </c>
      <c r="F16" t="n">
        <v>255.7</v>
      </c>
      <c r="G16" t="n">
        <v>355.05</v>
      </c>
      <c r="H16" t="inlineStr">
        <is>
          <t>FastShip Inc</t>
        </is>
      </c>
      <c r="I16" t="n">
        <v>4</v>
      </c>
      <c r="J16" t="n">
        <v>165</v>
      </c>
      <c r="K16" t="n">
        <v>1066</v>
      </c>
      <c r="L16" t="inlineStr">
        <is>
          <t>2026-01-06</t>
        </is>
      </c>
      <c r="M16" t="n">
        <v>200</v>
      </c>
      <c r="N16" t="inlineStr">
        <is>
          <t>Price increase pending</t>
        </is>
      </c>
    </row>
    <row r="17">
      <c r="A17" t="inlineStr">
        <is>
          <t>FU-002</t>
        </is>
      </c>
      <c r="B17" t="inlineStr">
        <is>
          <t>Standing Desk</t>
        </is>
      </c>
      <c r="C17" t="inlineStr">
        <is>
          <t>Furniture</t>
        </is>
      </c>
      <c r="D17" t="n">
        <v>166</v>
      </c>
      <c r="E17" t="n">
        <v>20.7</v>
      </c>
      <c r="F17" t="n">
        <v>239.82</v>
      </c>
      <c r="G17" t="n">
        <v>458</v>
      </c>
      <c r="H17" t="inlineStr">
        <is>
          <t>Wholesale Plus</t>
        </is>
      </c>
      <c r="I17" t="n">
        <v>7</v>
      </c>
      <c r="J17" t="n">
        <v>144</v>
      </c>
      <c r="K17" t="n">
        <v>931</v>
      </c>
      <c r="L17" t="inlineStr">
        <is>
          <t>2026-01-14</t>
        </is>
      </c>
      <c r="M17" t="n">
        <v>57</v>
      </c>
      <c r="N17" t="inlineStr"/>
    </row>
    <row r="18">
      <c r="A18" t="inlineStr">
        <is>
          <t>FU-003</t>
        </is>
      </c>
      <c r="B18" t="inlineStr">
        <is>
          <t>Filing Cabinet</t>
        </is>
      </c>
      <c r="C18" t="inlineStr">
        <is>
          <t>Furniture</t>
        </is>
      </c>
      <c r="D18" t="n">
        <v>181</v>
      </c>
      <c r="E18" t="n">
        <v>17.6</v>
      </c>
      <c r="F18" t="n">
        <v>237.43</v>
      </c>
      <c r="G18" t="n">
        <v>326.07</v>
      </c>
      <c r="H18" t="inlineStr">
        <is>
          <t>FastShip Inc</t>
        </is>
      </c>
      <c r="I18" t="n">
        <v>6</v>
      </c>
      <c r="J18" t="n">
        <v>123</v>
      </c>
      <c r="K18" t="n">
        <v>792</v>
      </c>
      <c r="L18" t="inlineStr">
        <is>
          <t>2026-01-19</t>
        </is>
      </c>
      <c r="M18" t="n">
        <v>137</v>
      </c>
      <c r="N18" t="inlineStr"/>
    </row>
    <row r="19">
      <c r="A19" t="inlineStr">
        <is>
          <t>FU-004</t>
        </is>
      </c>
      <c r="B19" t="inlineStr">
        <is>
          <t>Bookshelf</t>
        </is>
      </c>
      <c r="C19" t="inlineStr">
        <is>
          <t>Furniture</t>
        </is>
      </c>
      <c r="D19" t="n">
        <v>102</v>
      </c>
      <c r="E19" t="n">
        <v>26.8</v>
      </c>
      <c r="F19" t="n">
        <v>205.82</v>
      </c>
      <c r="G19" t="n">
        <v>273.76</v>
      </c>
      <c r="H19" t="inlineStr">
        <is>
          <t>Direct Source</t>
        </is>
      </c>
      <c r="I19" t="n">
        <v>4</v>
      </c>
      <c r="J19" t="n">
        <v>187</v>
      </c>
      <c r="K19" t="n">
        <v>1206</v>
      </c>
      <c r="L19" t="inlineStr">
        <is>
          <t>2026-01-07</t>
        </is>
      </c>
      <c r="M19" t="n">
        <v>179</v>
      </c>
      <c r="N19" t="inlineStr">
        <is>
          <t>Popular item</t>
        </is>
      </c>
    </row>
    <row r="20">
      <c r="A20" t="inlineStr">
        <is>
          <t>TL-001</t>
        </is>
      </c>
      <c r="B20" t="inlineStr">
        <is>
          <t>Screwdriver Set</t>
        </is>
      </c>
      <c r="C20" t="inlineStr">
        <is>
          <t>Tools</t>
        </is>
      </c>
      <c r="D20" t="n">
        <v>54</v>
      </c>
      <c r="E20" t="n">
        <v>7.4</v>
      </c>
      <c r="F20" t="n">
        <v>29.54</v>
      </c>
      <c r="G20" t="n">
        <v>40.16</v>
      </c>
      <c r="H20" t="inlineStr">
        <is>
          <t>FastShip Inc</t>
        </is>
      </c>
      <c r="I20" t="n">
        <v>4</v>
      </c>
      <c r="J20" t="n">
        <v>51</v>
      </c>
      <c r="K20" t="n">
        <v>333</v>
      </c>
      <c r="L20" t="inlineStr">
        <is>
          <t>2026-01-11</t>
        </is>
      </c>
      <c r="M20" t="n">
        <v>191</v>
      </c>
      <c r="N20" t="inlineStr"/>
    </row>
    <row r="21">
      <c r="A21" t="inlineStr">
        <is>
          <t>TL-002</t>
        </is>
      </c>
      <c r="B21" t="inlineStr">
        <is>
          <t>Drill Bits Pack</t>
        </is>
      </c>
      <c r="C21" t="inlineStr">
        <is>
          <t>Tools</t>
        </is>
      </c>
      <c r="D21" t="n">
        <v>186</v>
      </c>
      <c r="E21" t="n">
        <v>5.8</v>
      </c>
      <c r="F21" t="n">
        <v>45.39</v>
      </c>
      <c r="G21" t="n">
        <v>74.65000000000001</v>
      </c>
      <c r="H21" t="inlineStr">
        <is>
          <t>Wholesale Plus</t>
        </is>
      </c>
      <c r="I21" t="n">
        <v>3</v>
      </c>
      <c r="J21" t="n">
        <v>40</v>
      </c>
      <c r="K21" t="n">
        <v>261</v>
      </c>
      <c r="L21" t="inlineStr">
        <is>
          <t>2026-01-09</t>
        </is>
      </c>
      <c r="M21" t="n">
        <v>197</v>
      </c>
      <c r="N21" t="inlineStr"/>
    </row>
    <row r="22">
      <c r="A22" t="inlineStr">
        <is>
          <t>TL-003</t>
        </is>
      </c>
      <c r="B22" t="inlineStr">
        <is>
          <t>Measuring Tape</t>
        </is>
      </c>
      <c r="C22" t="inlineStr">
        <is>
          <t>Tools</t>
        </is>
      </c>
      <c r="D22" t="n">
        <v>265</v>
      </c>
      <c r="E22" t="n">
        <v>16</v>
      </c>
      <c r="F22" t="n">
        <v>8.93</v>
      </c>
      <c r="G22" t="n">
        <v>15.58</v>
      </c>
      <c r="H22" t="inlineStr">
        <is>
          <t>Direct Source</t>
        </is>
      </c>
      <c r="I22" t="n">
        <v>10</v>
      </c>
      <c r="J22" t="n">
        <v>112</v>
      </c>
      <c r="K22" t="n">
        <v>720</v>
      </c>
      <c r="L22" t="inlineStr">
        <is>
          <t>2026-01-11</t>
        </is>
      </c>
      <c r="M22" t="n">
        <v>199</v>
      </c>
      <c r="N22" t="inlineStr"/>
    </row>
    <row r="23">
      <c r="A23" t="inlineStr">
        <is>
          <t>TL-004</t>
        </is>
      </c>
      <c r="B23" t="inlineStr">
        <is>
          <t>Safety Goggles</t>
        </is>
      </c>
      <c r="C23" t="inlineStr">
        <is>
          <t>Tools</t>
        </is>
      </c>
      <c r="D23" t="n">
        <v>167</v>
      </c>
      <c r="E23" t="n">
        <v>12.1</v>
      </c>
      <c r="F23" t="n">
        <v>34.44</v>
      </c>
      <c r="G23" t="n">
        <v>54.92</v>
      </c>
      <c r="H23" t="inlineStr">
        <is>
          <t>FastShip Inc</t>
        </is>
      </c>
      <c r="I23" t="n">
        <v>6</v>
      </c>
      <c r="J23" t="n">
        <v>84</v>
      </c>
      <c r="K23" t="n">
        <v>544</v>
      </c>
      <c r="L23" t="inlineStr">
        <is>
          <t>2026-01-15</t>
        </is>
      </c>
      <c r="M23" t="n">
        <v>137</v>
      </c>
      <c r="N23" t="inlineStr">
        <is>
          <t>Popular item</t>
        </is>
      </c>
    </row>
    <row r="24">
      <c r="A24" t="inlineStr">
        <is>
          <t>TL-005</t>
        </is>
      </c>
      <c r="B24" t="inlineStr">
        <is>
          <t>Work Gloves (pair)</t>
        </is>
      </c>
      <c r="C24" t="inlineStr">
        <is>
          <t>Tools</t>
        </is>
      </c>
      <c r="D24" t="n">
        <v>45</v>
      </c>
      <c r="E24" t="n">
        <v>3.7</v>
      </c>
      <c r="F24" t="n">
        <v>22.49</v>
      </c>
      <c r="G24" t="n">
        <v>37.12</v>
      </c>
      <c r="H24" t="inlineStr">
        <is>
          <t>Global Supply</t>
        </is>
      </c>
      <c r="I24" t="n">
        <v>9</v>
      </c>
      <c r="J24" t="n">
        <v>25</v>
      </c>
      <c r="K24" t="n">
        <v>166</v>
      </c>
      <c r="L24" t="inlineStr">
        <is>
          <t>2026-01-12</t>
        </is>
      </c>
      <c r="M24" t="n">
        <v>67</v>
      </c>
      <c r="N24" t="inlineStr">
        <is>
          <t>Seasonal</t>
        </is>
      </c>
    </row>
    <row r="25">
      <c r="A25" t="inlineStr">
        <is>
          <t>PK-001</t>
        </is>
      </c>
      <c r="B25" t="inlineStr">
        <is>
          <t>Shipping Boxes Small</t>
        </is>
      </c>
      <c r="C25" t="inlineStr">
        <is>
          <t>Packaging</t>
        </is>
      </c>
      <c r="D25" t="n">
        <v>13</v>
      </c>
      <c r="E25" t="n">
        <v>16.1</v>
      </c>
      <c r="F25" t="n">
        <v>31.46</v>
      </c>
      <c r="G25" t="n">
        <v>42.11</v>
      </c>
      <c r="H25" t="inlineStr">
        <is>
          <t>Wholesale Plus</t>
        </is>
      </c>
      <c r="I25" t="n">
        <v>3</v>
      </c>
      <c r="J25" t="n">
        <v>112</v>
      </c>
      <c r="K25" t="n">
        <v>724</v>
      </c>
      <c r="L25" t="inlineStr">
        <is>
          <t>2026-01-19</t>
        </is>
      </c>
      <c r="M25" t="n">
        <v>149</v>
      </c>
      <c r="N25" t="inlineStr">
        <is>
          <t>Seasonal</t>
        </is>
      </c>
    </row>
    <row r="26">
      <c r="A26" t="inlineStr">
        <is>
          <t>PK-002</t>
        </is>
      </c>
      <c r="B26" t="inlineStr">
        <is>
          <t>Shipping Boxes Medium</t>
        </is>
      </c>
      <c r="C26" t="inlineStr">
        <is>
          <t>Packaging</t>
        </is>
      </c>
      <c r="D26" t="n">
        <v>15</v>
      </c>
      <c r="E26" t="n">
        <v>8.800000000000001</v>
      </c>
      <c r="F26" t="n">
        <v>23.93</v>
      </c>
      <c r="G26" t="n">
        <v>45.19</v>
      </c>
      <c r="H26" t="inlineStr">
        <is>
          <t>Direct Source</t>
        </is>
      </c>
      <c r="I26" t="n">
        <v>8</v>
      </c>
      <c r="J26" t="n">
        <v>61</v>
      </c>
      <c r="K26" t="n">
        <v>396</v>
      </c>
      <c r="L26" t="inlineStr">
        <is>
          <t>2026-01-08</t>
        </is>
      </c>
      <c r="M26" t="n">
        <v>166</v>
      </c>
      <c r="N26" t="inlineStr">
        <is>
          <t>Seasonal</t>
        </is>
      </c>
    </row>
    <row r="27">
      <c r="A27" t="inlineStr">
        <is>
          <t>PK-003</t>
        </is>
      </c>
      <c r="B27" t="inlineStr">
        <is>
          <t>Shipping Boxes Large</t>
        </is>
      </c>
      <c r="C27" t="inlineStr">
        <is>
          <t>Packaging</t>
        </is>
      </c>
      <c r="D27" t="n">
        <v>23</v>
      </c>
      <c r="E27" t="n">
        <v>2.6</v>
      </c>
      <c r="F27" t="n">
        <v>34.03</v>
      </c>
      <c r="G27" t="n">
        <v>61.72</v>
      </c>
      <c r="H27" t="inlineStr">
        <is>
          <t>Wholesale Plus</t>
        </is>
      </c>
      <c r="I27" t="n">
        <v>3</v>
      </c>
      <c r="J27" t="n">
        <v>18</v>
      </c>
      <c r="K27" t="n">
        <v>117</v>
      </c>
      <c r="L27" t="inlineStr">
        <is>
          <t>2026-01-16</t>
        </is>
      </c>
      <c r="M27" t="n">
        <v>188</v>
      </c>
      <c r="N27" t="inlineStr"/>
    </row>
    <row r="28">
      <c r="A28" t="inlineStr">
        <is>
          <t>PK-004</t>
        </is>
      </c>
      <c r="B28" t="inlineStr">
        <is>
          <t>Bubble Wrap Roll</t>
        </is>
      </c>
      <c r="C28" t="inlineStr">
        <is>
          <t>Packaging</t>
        </is>
      </c>
      <c r="D28" t="n">
        <v>291</v>
      </c>
      <c r="E28" t="n">
        <v>8.199999999999999</v>
      </c>
      <c r="F28" t="n">
        <v>43.61</v>
      </c>
      <c r="G28" t="n">
        <v>70.84</v>
      </c>
      <c r="H28" t="inlineStr">
        <is>
          <t>Direct Source</t>
        </is>
      </c>
      <c r="I28" t="n">
        <v>7</v>
      </c>
      <c r="J28" t="n">
        <v>57</v>
      </c>
      <c r="K28" t="n">
        <v>368</v>
      </c>
      <c r="L28" t="inlineStr">
        <is>
          <t>2026-01-19</t>
        </is>
      </c>
      <c r="M28" t="n">
        <v>53</v>
      </c>
      <c r="N28" t="inlineStr">
        <is>
          <t>New supplier</t>
        </is>
      </c>
    </row>
    <row r="29">
      <c r="A29" t="inlineStr">
        <is>
          <t>PK-005</t>
        </is>
      </c>
      <c r="B29" t="inlineStr">
        <is>
          <t>Packing Tape</t>
        </is>
      </c>
      <c r="C29" t="inlineStr">
        <is>
          <t>Packaging</t>
        </is>
      </c>
      <c r="D29" t="n">
        <v>48</v>
      </c>
      <c r="E29" t="n">
        <v>3.8</v>
      </c>
      <c r="F29" t="n">
        <v>14.91</v>
      </c>
      <c r="G29" t="n">
        <v>21.14</v>
      </c>
      <c r="H29" t="inlineStr">
        <is>
          <t>Wholesale Plus</t>
        </is>
      </c>
      <c r="I29" t="n">
        <v>8</v>
      </c>
      <c r="J29" t="n">
        <v>26</v>
      </c>
      <c r="K29" t="n">
        <v>171</v>
      </c>
      <c r="L29" t="inlineStr">
        <is>
          <t>2026-01-14</t>
        </is>
      </c>
      <c r="M29" t="n">
        <v>61</v>
      </c>
      <c r="N29" t="inlineStr"/>
    </row>
    <row r="30">
      <c r="A30" t="inlineStr">
        <is>
          <t>PK-006</t>
        </is>
      </c>
      <c r="B30" t="inlineStr">
        <is>
          <t>Shipping Labels (roll)</t>
        </is>
      </c>
      <c r="C30" t="inlineStr">
        <is>
          <t>Packaging</t>
        </is>
      </c>
      <c r="D30" t="n">
        <v>21</v>
      </c>
      <c r="E30" t="n">
        <v>9.5</v>
      </c>
      <c r="F30" t="n">
        <v>10.8</v>
      </c>
      <c r="G30" t="n">
        <v>19.61</v>
      </c>
      <c r="H30" t="inlineStr">
        <is>
          <t>Direct Source</t>
        </is>
      </c>
      <c r="I30" t="n">
        <v>6</v>
      </c>
      <c r="J30" t="n">
        <v>66</v>
      </c>
      <c r="K30" t="n">
        <v>427</v>
      </c>
      <c r="L30" t="inlineStr">
        <is>
          <t>2026-01-10</t>
        </is>
      </c>
      <c r="M30" t="n">
        <v>177</v>
      </c>
      <c r="N30" t="inlineStr"/>
    </row>
    <row r="31">
      <c r="A31" t="inlineStr">
        <is>
          <t>PK-007</t>
        </is>
      </c>
      <c r="B31" t="inlineStr">
        <is>
          <t>Foam Peanuts (bag)</t>
        </is>
      </c>
      <c r="C31" t="inlineStr">
        <is>
          <t>Packaging</t>
        </is>
      </c>
      <c r="D31" t="n">
        <v>76</v>
      </c>
      <c r="E31" t="n">
        <v>14.4</v>
      </c>
      <c r="F31" t="n">
        <v>28.61</v>
      </c>
      <c r="G31" t="n">
        <v>42.79</v>
      </c>
      <c r="H31" t="inlineStr">
        <is>
          <t>Global Supply</t>
        </is>
      </c>
      <c r="I31" t="n">
        <v>4</v>
      </c>
      <c r="J31" t="n">
        <v>100</v>
      </c>
      <c r="K31" t="n">
        <v>648</v>
      </c>
      <c r="L31" t="inlineStr">
        <is>
          <t>2026-01-13</t>
        </is>
      </c>
      <c r="M31" t="n">
        <v>154</v>
      </c>
      <c r="N31" t="inlineStr"/>
    </row>
    <row r="32">
      <c r="A32" t="inlineStr">
        <is>
          <t>EL-007</t>
        </is>
      </c>
      <c r="B32" t="inlineStr">
        <is>
          <t>USB Hub 4-Port</t>
        </is>
      </c>
      <c r="C32" t="inlineStr">
        <is>
          <t>Electronics</t>
        </is>
      </c>
      <c r="D32" t="n">
        <v>18</v>
      </c>
      <c r="E32" t="n">
        <v>23.3</v>
      </c>
      <c r="F32" t="n">
        <v>73.86</v>
      </c>
      <c r="G32" t="n">
        <v>114.45</v>
      </c>
      <c r="H32" t="inlineStr">
        <is>
          <t>Wholesale Plus</t>
        </is>
      </c>
      <c r="I32" t="n">
        <v>5</v>
      </c>
      <c r="J32" t="n">
        <v>163</v>
      </c>
      <c r="K32" t="n">
        <v>1048</v>
      </c>
      <c r="L32" t="inlineStr">
        <is>
          <t>2026-01-07</t>
        </is>
      </c>
      <c r="M32" t="n">
        <v>104</v>
      </c>
      <c r="N32" t="inlineStr">
        <is>
          <t>Popular item</t>
        </is>
      </c>
    </row>
    <row r="33">
      <c r="A33" t="inlineStr">
        <is>
          <t>OS-007</t>
        </is>
      </c>
      <c r="B33" t="inlineStr">
        <is>
          <t>Desk Organizer</t>
        </is>
      </c>
      <c r="C33" t="inlineStr">
        <is>
          <t>Office Supplies</t>
        </is>
      </c>
      <c r="D33" t="n">
        <v>26</v>
      </c>
      <c r="E33" t="n">
        <v>4.1</v>
      </c>
      <c r="F33" t="n">
        <v>46.58</v>
      </c>
      <c r="G33" t="n">
        <v>60.91</v>
      </c>
      <c r="H33" t="inlineStr">
        <is>
          <t>FastShip Inc</t>
        </is>
      </c>
      <c r="I33" t="n">
        <v>3</v>
      </c>
      <c r="J33" t="n">
        <v>28</v>
      </c>
      <c r="K33" t="n">
        <v>184</v>
      </c>
      <c r="L33" t="inlineStr">
        <is>
          <t>2026-01-02</t>
        </is>
      </c>
      <c r="M33" t="n">
        <v>113</v>
      </c>
      <c r="N33" t="inlineStr">
        <is>
          <t>Price increase pending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5" customWidth="1" min="14" max="14"/>
    <col width="10" customWidth="1" min="15" max="15"/>
    <col width="12" customWidth="1" min="16" max="16"/>
  </cols>
  <sheetData>
    <row r="1">
      <c r="A1" s="1" t="inlineStr">
        <is>
          <t>Inventory Analysis - Calculated Metrics</t>
        </is>
      </c>
    </row>
    <row r="3">
      <c r="A3" s="5" t="inlineStr">
        <is>
          <t>SKU</t>
        </is>
      </c>
      <c r="B3" s="5" t="inlineStr">
        <is>
          <t>Product Name</t>
        </is>
      </c>
      <c r="C3" s="5" t="inlineStr">
        <is>
          <t>Current Stock</t>
        </is>
      </c>
      <c r="D3" s="5" t="inlineStr">
        <is>
          <t>Daily Sales</t>
        </is>
      </c>
      <c r="E3" s="5" t="inlineStr">
        <is>
          <t>Days of Stock</t>
        </is>
      </c>
      <c r="F3" s="5" t="inlineStr">
        <is>
          <t>Reorder Point</t>
        </is>
      </c>
      <c r="G3" s="5" t="inlineStr">
        <is>
          <t>Below Reorder?</t>
        </is>
      </c>
      <c r="H3" s="5" t="inlineStr">
        <is>
          <t>Qty to Order</t>
        </is>
      </c>
      <c r="I3" s="5" t="inlineStr">
        <is>
          <t>Order Cost ($)</t>
        </is>
      </c>
      <c r="J3" s="5" t="inlineStr">
        <is>
          <t>Stock Status</t>
        </is>
      </c>
      <c r="K3" s="5" t="inlineStr">
        <is>
          <t>Priority Score</t>
        </is>
      </c>
      <c r="L3" s="5" t="inlineStr">
        <is>
          <t>Value Category</t>
        </is>
      </c>
      <c r="M3" s="5" t="inlineStr">
        <is>
          <t>Stockout Risk ($)</t>
        </is>
      </c>
      <c r="N3" s="5" t="inlineStr">
        <is>
          <t>Supplier</t>
        </is>
      </c>
      <c r="O3" s="5" t="inlineStr">
        <is>
          <t>Lead Time</t>
        </is>
      </c>
      <c r="P3" s="5" t="inlineStr">
        <is>
          <t>Est. Arrival</t>
        </is>
      </c>
    </row>
    <row r="4">
      <c r="A4">
        <f>Inventory!A4</f>
        <v/>
      </c>
      <c r="B4">
        <f>Inventory!B4</f>
        <v/>
      </c>
      <c r="C4">
        <f>Inventory!D4</f>
        <v/>
      </c>
      <c r="D4">
        <f>Inventory!E4</f>
        <v/>
      </c>
      <c r="E4">
        <f>IF(D4&gt;0,ROUND(C4/D4,1),999)</f>
        <v/>
      </c>
      <c r="F4">
        <f>ROUND((D4*(Inventory!I4+SafetyStockDays))*ReorderMultiplier,0)</f>
        <v/>
      </c>
      <c r="G4">
        <f>IF(C4&lt;=F4,"YES","No")</f>
        <v/>
      </c>
      <c r="H4">
        <f>IF(G4="YES",MIN(MaxOrderQty,MAX(MinOrderQty,F4+D4*SafetyStockDays-C4)),0)</f>
        <v/>
      </c>
      <c r="I4" s="6">
        <f>IF(H4&gt;=BulkThreshold,H4*Inventory!F4*(1-BulkDiscount/100),H4*Inventory!F4)</f>
        <v/>
      </c>
      <c r="J4">
        <f>IF(E4&lt;=CriticalDays,"CRITICAL",IF(E4&lt;=WarningDays,"WARNING",IF(E4&gt;=OverstockDays,"OVERSTOCK","OK")))</f>
        <v/>
      </c>
      <c r="K4">
        <f>IF(G4="YES",ROUND((F4-C4)/F4*100+IF(Inventory!F4&gt;HighValueThreshold,20,0),0),0)</f>
        <v/>
      </c>
      <c r="L4">
        <f>IF(Inventory!F4&gt;=HighValueThreshold,"High",IF(Inventory!F4&gt;=LowValueThreshold,"Medium","Low"))</f>
        <v/>
      </c>
      <c r="M4" s="7">
        <f>IF(E4&lt;Inventory!I4,ROUND((Inventory!I4-E4)*D4*Inventory!G4*2.5,0),0)</f>
        <v/>
      </c>
      <c r="N4">
        <f>Inventory!H4</f>
        <v/>
      </c>
      <c r="O4">
        <f>Inventory!I4</f>
        <v/>
      </c>
      <c r="P4" s="8">
        <f>IF(G4="YES",TODAY()+O4,"")</f>
        <v/>
      </c>
    </row>
    <row r="5">
      <c r="A5">
        <f>Inventory!A5</f>
        <v/>
      </c>
      <c r="B5">
        <f>Inventory!B5</f>
        <v/>
      </c>
      <c r="C5">
        <f>Inventory!D5</f>
        <v/>
      </c>
      <c r="D5">
        <f>Inventory!E5</f>
        <v/>
      </c>
      <c r="E5">
        <f>IF(D5&gt;0,ROUND(C5/D5,1),999)</f>
        <v/>
      </c>
      <c r="F5">
        <f>ROUND((D5*(Inventory!I5+SafetyStockDays))*ReorderMultiplier,0)</f>
        <v/>
      </c>
      <c r="G5">
        <f>IF(C5&lt;=F5,"YES","No")</f>
        <v/>
      </c>
      <c r="H5">
        <f>IF(G5="YES",MIN(MaxOrderQty,MAX(MinOrderQty,F5+D5*SafetyStockDays-C5)),0)</f>
        <v/>
      </c>
      <c r="I5" s="6">
        <f>IF(H5&gt;=BulkThreshold,H5*Inventory!F5*(1-BulkDiscount/100),H5*Inventory!F5)</f>
        <v/>
      </c>
      <c r="J5">
        <f>IF(E5&lt;=CriticalDays,"CRITICAL",IF(E5&lt;=WarningDays,"WARNING",IF(E5&gt;=OverstockDays,"OVERSTOCK","OK")))</f>
        <v/>
      </c>
      <c r="K5">
        <f>IF(G5="YES",ROUND((F5-C5)/F5*100+IF(Inventory!F5&gt;HighValueThreshold,20,0),0),0)</f>
        <v/>
      </c>
      <c r="L5">
        <f>IF(Inventory!F5&gt;=HighValueThreshold,"High",IF(Inventory!F5&gt;=LowValueThreshold,"Medium","Low"))</f>
        <v/>
      </c>
      <c r="M5" s="7">
        <f>IF(E5&lt;Inventory!I5,ROUND((Inventory!I5-E5)*D5*Inventory!G5*2.5,0),0)</f>
        <v/>
      </c>
      <c r="N5">
        <f>Inventory!H5</f>
        <v/>
      </c>
      <c r="O5">
        <f>Inventory!I5</f>
        <v/>
      </c>
      <c r="P5" s="8">
        <f>IF(G5="YES",TODAY()+O5,"")</f>
        <v/>
      </c>
    </row>
    <row r="6">
      <c r="A6">
        <f>Inventory!A6</f>
        <v/>
      </c>
      <c r="B6">
        <f>Inventory!B6</f>
        <v/>
      </c>
      <c r="C6">
        <f>Inventory!D6</f>
        <v/>
      </c>
      <c r="D6">
        <f>Inventory!E6</f>
        <v/>
      </c>
      <c r="E6">
        <f>IF(D6&gt;0,ROUND(C6/D6,1),999)</f>
        <v/>
      </c>
      <c r="F6">
        <f>ROUND((D6*(Inventory!I6+SafetyStockDays))*ReorderMultiplier,0)</f>
        <v/>
      </c>
      <c r="G6">
        <f>IF(C6&lt;=F6,"YES","No")</f>
        <v/>
      </c>
      <c r="H6">
        <f>IF(G6="YES",MIN(MaxOrderQty,MAX(MinOrderQty,F6+D6*SafetyStockDays-C6)),0)</f>
        <v/>
      </c>
      <c r="I6" s="6">
        <f>IF(H6&gt;=BulkThreshold,H6*Inventory!F6*(1-BulkDiscount/100),H6*Inventory!F6)</f>
        <v/>
      </c>
      <c r="J6">
        <f>IF(E6&lt;=CriticalDays,"CRITICAL",IF(E6&lt;=WarningDays,"WARNING",IF(E6&gt;=OverstockDays,"OVERSTOCK","OK")))</f>
        <v/>
      </c>
      <c r="K6">
        <f>IF(G6="YES",ROUND((F6-C6)/F6*100+IF(Inventory!F6&gt;HighValueThreshold,20,0),0),0)</f>
        <v/>
      </c>
      <c r="L6">
        <f>IF(Inventory!F6&gt;=HighValueThreshold,"High",IF(Inventory!F6&gt;=LowValueThreshold,"Medium","Low"))</f>
        <v/>
      </c>
      <c r="M6" s="7">
        <f>IF(E6&lt;Inventory!I6,ROUND((Inventory!I6-E6)*D6*Inventory!G6*2.5,0),0)</f>
        <v/>
      </c>
      <c r="N6">
        <f>Inventory!H6</f>
        <v/>
      </c>
      <c r="O6">
        <f>Inventory!I6</f>
        <v/>
      </c>
      <c r="P6" s="8">
        <f>IF(G6="YES",TODAY()+O6,"")</f>
        <v/>
      </c>
    </row>
    <row r="7">
      <c r="A7">
        <f>Inventory!A7</f>
        <v/>
      </c>
      <c r="B7">
        <f>Inventory!B7</f>
        <v/>
      </c>
      <c r="C7">
        <f>Inventory!D7</f>
        <v/>
      </c>
      <c r="D7">
        <f>Inventory!E7</f>
        <v/>
      </c>
      <c r="E7">
        <f>IF(D7&gt;0,ROUND(C7/D7,1),999)</f>
        <v/>
      </c>
      <c r="F7">
        <f>ROUND((D7*(Inventory!I7+SafetyStockDays))*ReorderMultiplier,0)</f>
        <v/>
      </c>
      <c r="G7">
        <f>IF(C7&lt;=F7,"YES","No")</f>
        <v/>
      </c>
      <c r="H7">
        <f>IF(G7="YES",MIN(MaxOrderQty,MAX(MinOrderQty,F7+D7*SafetyStockDays-C7)),0)</f>
        <v/>
      </c>
      <c r="I7" s="6">
        <f>IF(H7&gt;=BulkThreshold,H7*Inventory!F7*(1-BulkDiscount/100),H7*Inventory!F7)</f>
        <v/>
      </c>
      <c r="J7">
        <f>IF(E7&lt;=CriticalDays,"CRITICAL",IF(E7&lt;=WarningDays,"WARNING",IF(E7&gt;=OverstockDays,"OVERSTOCK","OK")))</f>
        <v/>
      </c>
      <c r="K7">
        <f>IF(G7="YES",ROUND((F7-C7)/F7*100+IF(Inventory!F7&gt;HighValueThreshold,20,0),0),0)</f>
        <v/>
      </c>
      <c r="L7">
        <f>IF(Inventory!F7&gt;=HighValueThreshold,"High",IF(Inventory!F7&gt;=LowValueThreshold,"Medium","Low"))</f>
        <v/>
      </c>
      <c r="M7" s="7">
        <f>IF(E7&lt;Inventory!I7,ROUND((Inventory!I7-E7)*D7*Inventory!G7*2.5,0),0)</f>
        <v/>
      </c>
      <c r="N7">
        <f>Inventory!H7</f>
        <v/>
      </c>
      <c r="O7">
        <f>Inventory!I7</f>
        <v/>
      </c>
      <c r="P7" s="8">
        <f>IF(G7="YES",TODAY()+O7,"")</f>
        <v/>
      </c>
    </row>
    <row r="8">
      <c r="A8">
        <f>Inventory!A8</f>
        <v/>
      </c>
      <c r="B8">
        <f>Inventory!B8</f>
        <v/>
      </c>
      <c r="C8">
        <f>Inventory!D8</f>
        <v/>
      </c>
      <c r="D8">
        <f>Inventory!E8</f>
        <v/>
      </c>
      <c r="E8">
        <f>IF(D8&gt;0,ROUND(C8/D8,1),999)</f>
        <v/>
      </c>
      <c r="F8">
        <f>ROUND((D8*(Inventory!I8+SafetyStockDays))*ReorderMultiplier,0)</f>
        <v/>
      </c>
      <c r="G8">
        <f>IF(C8&lt;=F8,"YES","No")</f>
        <v/>
      </c>
      <c r="H8">
        <f>IF(G8="YES",MIN(MaxOrderQty,MAX(MinOrderQty,F8+D8*SafetyStockDays-C8)),0)</f>
        <v/>
      </c>
      <c r="I8" s="6">
        <f>IF(H8&gt;=BulkThreshold,H8*Inventory!F8*(1-BulkDiscount/100),H8*Inventory!F8)</f>
        <v/>
      </c>
      <c r="J8">
        <f>IF(E8&lt;=CriticalDays,"CRITICAL",IF(E8&lt;=WarningDays,"WARNING",IF(E8&gt;=OverstockDays,"OVERSTOCK","OK")))</f>
        <v/>
      </c>
      <c r="K8">
        <f>IF(G8="YES",ROUND((F8-C8)/F8*100+IF(Inventory!F8&gt;HighValueThreshold,20,0),0),0)</f>
        <v/>
      </c>
      <c r="L8">
        <f>IF(Inventory!F8&gt;=HighValueThreshold,"High",IF(Inventory!F8&gt;=LowValueThreshold,"Medium","Low"))</f>
        <v/>
      </c>
      <c r="M8" s="7">
        <f>IF(E8&lt;Inventory!I8,ROUND((Inventory!I8-E8)*D8*Inventory!G8*2.5,0),0)</f>
        <v/>
      </c>
      <c r="N8">
        <f>Inventory!H8</f>
        <v/>
      </c>
      <c r="O8">
        <f>Inventory!I8</f>
        <v/>
      </c>
      <c r="P8" s="8">
        <f>IF(G8="YES",TODAY()+O8,"")</f>
        <v/>
      </c>
    </row>
    <row r="9">
      <c r="A9">
        <f>Inventory!A9</f>
        <v/>
      </c>
      <c r="B9">
        <f>Inventory!B9</f>
        <v/>
      </c>
      <c r="C9">
        <f>Inventory!D9</f>
        <v/>
      </c>
      <c r="D9">
        <f>Inventory!E9</f>
        <v/>
      </c>
      <c r="E9">
        <f>IF(D9&gt;0,ROUND(C9/D9,1),999)</f>
        <v/>
      </c>
      <c r="F9">
        <f>ROUND((D9*(Inventory!I9+SafetyStockDays))*ReorderMultiplier,0)</f>
        <v/>
      </c>
      <c r="G9">
        <f>IF(C9&lt;=F9,"YES","No")</f>
        <v/>
      </c>
      <c r="H9">
        <f>IF(G9="YES",MIN(MaxOrderQty,MAX(MinOrderQty,F9+D9*SafetyStockDays-C9)),0)</f>
        <v/>
      </c>
      <c r="I9" s="6">
        <f>IF(H9&gt;=BulkThreshold,H9*Inventory!F9*(1-BulkDiscount/100),H9*Inventory!F9)</f>
        <v/>
      </c>
      <c r="J9">
        <f>IF(E9&lt;=CriticalDays,"CRITICAL",IF(E9&lt;=WarningDays,"WARNING",IF(E9&gt;=OverstockDays,"OVERSTOCK","OK")))</f>
        <v/>
      </c>
      <c r="K9">
        <f>IF(G9="YES",ROUND((F9-C9)/F9*100+IF(Inventory!F9&gt;HighValueThreshold,20,0),0),0)</f>
        <v/>
      </c>
      <c r="L9">
        <f>IF(Inventory!F9&gt;=HighValueThreshold,"High",IF(Inventory!F9&gt;=LowValueThreshold,"Medium","Low"))</f>
        <v/>
      </c>
      <c r="M9" s="7">
        <f>IF(E9&lt;Inventory!I9,ROUND((Inventory!I9-E9)*D9*Inventory!G9*2.5,0),0)</f>
        <v/>
      </c>
      <c r="N9">
        <f>Inventory!H9</f>
        <v/>
      </c>
      <c r="O9">
        <f>Inventory!I9</f>
        <v/>
      </c>
      <c r="P9" s="8">
        <f>IF(G9="YES",TODAY()+O9,"")</f>
        <v/>
      </c>
    </row>
    <row r="10">
      <c r="A10">
        <f>Inventory!A10</f>
        <v/>
      </c>
      <c r="B10">
        <f>Inventory!B10</f>
        <v/>
      </c>
      <c r="C10">
        <f>Inventory!D10</f>
        <v/>
      </c>
      <c r="D10">
        <f>Inventory!E10</f>
        <v/>
      </c>
      <c r="E10">
        <f>IF(D10&gt;0,ROUND(C10/D10,1),999)</f>
        <v/>
      </c>
      <c r="F10">
        <f>ROUND((D10*(Inventory!I10+SafetyStockDays))*ReorderMultiplier,0)</f>
        <v/>
      </c>
      <c r="G10">
        <f>IF(C10&lt;=F10,"YES","No")</f>
        <v/>
      </c>
      <c r="H10">
        <f>IF(G10="YES",MIN(MaxOrderQty,MAX(MinOrderQty,F10+D10*SafetyStockDays-C10)),0)</f>
        <v/>
      </c>
      <c r="I10" s="6">
        <f>IF(H10&gt;=BulkThreshold,H10*Inventory!F10*(1-BulkDiscount/100),H10*Inventory!F10)</f>
        <v/>
      </c>
      <c r="J10">
        <f>IF(E10&lt;=CriticalDays,"CRITICAL",IF(E10&lt;=WarningDays,"WARNING",IF(E10&gt;=OverstockDays,"OVERSTOCK","OK")))</f>
        <v/>
      </c>
      <c r="K10">
        <f>IF(G10="YES",ROUND((F10-C10)/F10*100+IF(Inventory!F10&gt;HighValueThreshold,20,0),0),0)</f>
        <v/>
      </c>
      <c r="L10">
        <f>IF(Inventory!F10&gt;=HighValueThreshold,"High",IF(Inventory!F10&gt;=LowValueThreshold,"Medium","Low"))</f>
        <v/>
      </c>
      <c r="M10" s="7">
        <f>IF(E10&lt;Inventory!I10,ROUND((Inventory!I10-E10)*D10*Inventory!G10*2.5,0),0)</f>
        <v/>
      </c>
      <c r="N10">
        <f>Inventory!H10</f>
        <v/>
      </c>
      <c r="O10">
        <f>Inventory!I10</f>
        <v/>
      </c>
      <c r="P10" s="8">
        <f>IF(G10="YES",TODAY()+O10,"")</f>
        <v/>
      </c>
    </row>
    <row r="11">
      <c r="A11">
        <f>Inventory!A11</f>
        <v/>
      </c>
      <c r="B11">
        <f>Inventory!B11</f>
        <v/>
      </c>
      <c r="C11">
        <f>Inventory!D11</f>
        <v/>
      </c>
      <c r="D11">
        <f>Inventory!E11</f>
        <v/>
      </c>
      <c r="E11">
        <f>IF(D11&gt;0,ROUND(C11/D11,1),999)</f>
        <v/>
      </c>
      <c r="F11">
        <f>ROUND((D11*(Inventory!I11+SafetyStockDays))*ReorderMultiplier,0)</f>
        <v/>
      </c>
      <c r="G11">
        <f>IF(C11&lt;=F11,"YES","No")</f>
        <v/>
      </c>
      <c r="H11">
        <f>IF(G11="YES",MIN(MaxOrderQty,MAX(MinOrderQty,F11+D11*SafetyStockDays-C11)),0)</f>
        <v/>
      </c>
      <c r="I11" s="6">
        <f>IF(H11&gt;=BulkThreshold,H11*Inventory!F11*(1-BulkDiscount/100),H11*Inventory!F11)</f>
        <v/>
      </c>
      <c r="J11">
        <f>IF(E11&lt;=CriticalDays,"CRITICAL",IF(E11&lt;=WarningDays,"WARNING",IF(E11&gt;=OverstockDays,"OVERSTOCK","OK")))</f>
        <v/>
      </c>
      <c r="K11">
        <f>IF(G11="YES",ROUND((F11-C11)/F11*100+IF(Inventory!F11&gt;HighValueThreshold,20,0),0),0)</f>
        <v/>
      </c>
      <c r="L11">
        <f>IF(Inventory!F11&gt;=HighValueThreshold,"High",IF(Inventory!F11&gt;=LowValueThreshold,"Medium","Low"))</f>
        <v/>
      </c>
      <c r="M11" s="7">
        <f>IF(E11&lt;Inventory!I11,ROUND((Inventory!I11-E11)*D11*Inventory!G11*2.5,0),0)</f>
        <v/>
      </c>
      <c r="N11">
        <f>Inventory!H11</f>
        <v/>
      </c>
      <c r="O11">
        <f>Inventory!I11</f>
        <v/>
      </c>
      <c r="P11" s="8">
        <f>IF(G11="YES",TODAY()+O11,"")</f>
        <v/>
      </c>
    </row>
    <row r="12">
      <c r="A12">
        <f>Inventory!A12</f>
        <v/>
      </c>
      <c r="B12">
        <f>Inventory!B12</f>
        <v/>
      </c>
      <c r="C12">
        <f>Inventory!D12</f>
        <v/>
      </c>
      <c r="D12">
        <f>Inventory!E12</f>
        <v/>
      </c>
      <c r="E12">
        <f>IF(D12&gt;0,ROUND(C12/D12,1),999)</f>
        <v/>
      </c>
      <c r="F12">
        <f>ROUND((D12*(Inventory!I12+SafetyStockDays))*ReorderMultiplier,0)</f>
        <v/>
      </c>
      <c r="G12">
        <f>IF(C12&lt;=F12,"YES","No")</f>
        <v/>
      </c>
      <c r="H12">
        <f>IF(G12="YES",MIN(MaxOrderQty,MAX(MinOrderQty,F12+D12*SafetyStockDays-C12)),0)</f>
        <v/>
      </c>
      <c r="I12" s="6">
        <f>IF(H12&gt;=BulkThreshold,H12*Inventory!F12*(1-BulkDiscount/100),H12*Inventory!F12)</f>
        <v/>
      </c>
      <c r="J12">
        <f>IF(E12&lt;=CriticalDays,"CRITICAL",IF(E12&lt;=WarningDays,"WARNING",IF(E12&gt;=OverstockDays,"OVERSTOCK","OK")))</f>
        <v/>
      </c>
      <c r="K12">
        <f>IF(G12="YES",ROUND((F12-C12)/F12*100+IF(Inventory!F12&gt;HighValueThreshold,20,0),0),0)</f>
        <v/>
      </c>
      <c r="L12">
        <f>IF(Inventory!F12&gt;=HighValueThreshold,"High",IF(Inventory!F12&gt;=LowValueThreshold,"Medium","Low"))</f>
        <v/>
      </c>
      <c r="M12" s="7">
        <f>IF(E12&lt;Inventory!I12,ROUND((Inventory!I12-E12)*D12*Inventory!G12*2.5,0),0)</f>
        <v/>
      </c>
      <c r="N12">
        <f>Inventory!H12</f>
        <v/>
      </c>
      <c r="O12">
        <f>Inventory!I12</f>
        <v/>
      </c>
      <c r="P12" s="8">
        <f>IF(G12="YES",TODAY()+O12,"")</f>
        <v/>
      </c>
    </row>
    <row r="13">
      <c r="A13">
        <f>Inventory!A13</f>
        <v/>
      </c>
      <c r="B13">
        <f>Inventory!B13</f>
        <v/>
      </c>
      <c r="C13">
        <f>Inventory!D13</f>
        <v/>
      </c>
      <c r="D13">
        <f>Inventory!E13</f>
        <v/>
      </c>
      <c r="E13">
        <f>IF(D13&gt;0,ROUND(C13/D13,1),999)</f>
        <v/>
      </c>
      <c r="F13">
        <f>ROUND((D13*(Inventory!I13+SafetyStockDays))*ReorderMultiplier,0)</f>
        <v/>
      </c>
      <c r="G13">
        <f>IF(C13&lt;=F13,"YES","No")</f>
        <v/>
      </c>
      <c r="H13">
        <f>IF(G13="YES",MIN(MaxOrderQty,MAX(MinOrderQty,F13+D13*SafetyStockDays-C13)),0)</f>
        <v/>
      </c>
      <c r="I13" s="6">
        <f>IF(H13&gt;=BulkThreshold,H13*Inventory!F13*(1-BulkDiscount/100),H13*Inventory!F13)</f>
        <v/>
      </c>
      <c r="J13">
        <f>IF(E13&lt;=CriticalDays,"CRITICAL",IF(E13&lt;=WarningDays,"WARNING",IF(E13&gt;=OverstockDays,"OVERSTOCK","OK")))</f>
        <v/>
      </c>
      <c r="K13">
        <f>IF(G13="YES",ROUND((F13-C13)/F13*100+IF(Inventory!F13&gt;HighValueThreshold,20,0),0),0)</f>
        <v/>
      </c>
      <c r="L13">
        <f>IF(Inventory!F13&gt;=HighValueThreshold,"High",IF(Inventory!F13&gt;=LowValueThreshold,"Medium","Low"))</f>
        <v/>
      </c>
      <c r="M13" s="7">
        <f>IF(E13&lt;Inventory!I13,ROUND((Inventory!I13-E13)*D13*Inventory!G13*2.5,0),0)</f>
        <v/>
      </c>
      <c r="N13">
        <f>Inventory!H13</f>
        <v/>
      </c>
      <c r="O13">
        <f>Inventory!I13</f>
        <v/>
      </c>
      <c r="P13" s="8">
        <f>IF(G13="YES",TODAY()+O13,"")</f>
        <v/>
      </c>
    </row>
    <row r="14">
      <c r="A14">
        <f>Inventory!A14</f>
        <v/>
      </c>
      <c r="B14">
        <f>Inventory!B14</f>
        <v/>
      </c>
      <c r="C14">
        <f>Inventory!D14</f>
        <v/>
      </c>
      <c r="D14">
        <f>Inventory!E14</f>
        <v/>
      </c>
      <c r="E14">
        <f>IF(D14&gt;0,ROUND(C14/D14,1),999)</f>
        <v/>
      </c>
      <c r="F14">
        <f>ROUND((D14*(Inventory!I14+SafetyStockDays))*ReorderMultiplier,0)</f>
        <v/>
      </c>
      <c r="G14">
        <f>IF(C14&lt;=F14,"YES","No")</f>
        <v/>
      </c>
      <c r="H14">
        <f>IF(G14="YES",MIN(MaxOrderQty,MAX(MinOrderQty,F14+D14*SafetyStockDays-C14)),0)</f>
        <v/>
      </c>
      <c r="I14" s="6">
        <f>IF(H14&gt;=BulkThreshold,H14*Inventory!F14*(1-BulkDiscount/100),H14*Inventory!F14)</f>
        <v/>
      </c>
      <c r="J14">
        <f>IF(E14&lt;=CriticalDays,"CRITICAL",IF(E14&lt;=WarningDays,"WARNING",IF(E14&gt;=OverstockDays,"OVERSTOCK","OK")))</f>
        <v/>
      </c>
      <c r="K14">
        <f>IF(G14="YES",ROUND((F14-C14)/F14*100+IF(Inventory!F14&gt;HighValueThreshold,20,0),0),0)</f>
        <v/>
      </c>
      <c r="L14">
        <f>IF(Inventory!F14&gt;=HighValueThreshold,"High",IF(Inventory!F14&gt;=LowValueThreshold,"Medium","Low"))</f>
        <v/>
      </c>
      <c r="M14" s="7">
        <f>IF(E14&lt;Inventory!I14,ROUND((Inventory!I14-E14)*D14*Inventory!G14*2.5,0),0)</f>
        <v/>
      </c>
      <c r="N14">
        <f>Inventory!H14</f>
        <v/>
      </c>
      <c r="O14">
        <f>Inventory!I14</f>
        <v/>
      </c>
      <c r="P14" s="8">
        <f>IF(G14="YES",TODAY()+O14,"")</f>
        <v/>
      </c>
    </row>
    <row r="15">
      <c r="A15">
        <f>Inventory!A15</f>
        <v/>
      </c>
      <c r="B15">
        <f>Inventory!B15</f>
        <v/>
      </c>
      <c r="C15">
        <f>Inventory!D15</f>
        <v/>
      </c>
      <c r="D15">
        <f>Inventory!E15</f>
        <v/>
      </c>
      <c r="E15">
        <f>IF(D15&gt;0,ROUND(C15/D15,1),999)</f>
        <v/>
      </c>
      <c r="F15">
        <f>ROUND((D15*(Inventory!I15+SafetyStockDays))*ReorderMultiplier,0)</f>
        <v/>
      </c>
      <c r="G15">
        <f>IF(C15&lt;=F15,"YES","No")</f>
        <v/>
      </c>
      <c r="H15">
        <f>IF(G15="YES",MIN(MaxOrderQty,MAX(MinOrderQty,F15+D15*SafetyStockDays-C15)),0)</f>
        <v/>
      </c>
      <c r="I15" s="6">
        <f>IF(H15&gt;=BulkThreshold,H15*Inventory!F15*(1-BulkDiscount/100),H15*Inventory!F15)</f>
        <v/>
      </c>
      <c r="J15">
        <f>IF(E15&lt;=CriticalDays,"CRITICAL",IF(E15&lt;=WarningDays,"WARNING",IF(E15&gt;=OverstockDays,"OVERSTOCK","OK")))</f>
        <v/>
      </c>
      <c r="K15">
        <f>IF(G15="YES",ROUND((F15-C15)/F15*100+IF(Inventory!F15&gt;HighValueThreshold,20,0),0),0)</f>
        <v/>
      </c>
      <c r="L15">
        <f>IF(Inventory!F15&gt;=HighValueThreshold,"High",IF(Inventory!F15&gt;=LowValueThreshold,"Medium","Low"))</f>
        <v/>
      </c>
      <c r="M15" s="7">
        <f>IF(E15&lt;Inventory!I15,ROUND((Inventory!I15-E15)*D15*Inventory!G15*2.5,0),0)</f>
        <v/>
      </c>
      <c r="N15">
        <f>Inventory!H15</f>
        <v/>
      </c>
      <c r="O15">
        <f>Inventory!I15</f>
        <v/>
      </c>
      <c r="P15" s="8">
        <f>IF(G15="YES",TODAY()+O15,"")</f>
        <v/>
      </c>
    </row>
    <row r="16">
      <c r="A16">
        <f>Inventory!A16</f>
        <v/>
      </c>
      <c r="B16">
        <f>Inventory!B16</f>
        <v/>
      </c>
      <c r="C16">
        <f>Inventory!D16</f>
        <v/>
      </c>
      <c r="D16">
        <f>Inventory!E16</f>
        <v/>
      </c>
      <c r="E16">
        <f>IF(D16&gt;0,ROUND(C16/D16,1),999)</f>
        <v/>
      </c>
      <c r="F16">
        <f>ROUND((D16*(Inventory!I16+SafetyStockDays))*ReorderMultiplier,0)</f>
        <v/>
      </c>
      <c r="G16">
        <f>IF(C16&lt;=F16,"YES","No")</f>
        <v/>
      </c>
      <c r="H16">
        <f>IF(G16="YES",MIN(MaxOrderQty,MAX(MinOrderQty,F16+D16*SafetyStockDays-C16)),0)</f>
        <v/>
      </c>
      <c r="I16" s="6">
        <f>IF(H16&gt;=BulkThreshold,H16*Inventory!F16*(1-BulkDiscount/100),H16*Inventory!F16)</f>
        <v/>
      </c>
      <c r="J16">
        <f>IF(E16&lt;=CriticalDays,"CRITICAL",IF(E16&lt;=WarningDays,"WARNING",IF(E16&gt;=OverstockDays,"OVERSTOCK","OK")))</f>
        <v/>
      </c>
      <c r="K16">
        <f>IF(G16="YES",ROUND((F16-C16)/F16*100+IF(Inventory!F16&gt;HighValueThreshold,20,0),0),0)</f>
        <v/>
      </c>
      <c r="L16">
        <f>IF(Inventory!F16&gt;=HighValueThreshold,"High",IF(Inventory!F16&gt;=LowValueThreshold,"Medium","Low"))</f>
        <v/>
      </c>
      <c r="M16" s="7">
        <f>IF(E16&lt;Inventory!I16,ROUND((Inventory!I16-E16)*D16*Inventory!G16*2.5,0),0)</f>
        <v/>
      </c>
      <c r="N16">
        <f>Inventory!H16</f>
        <v/>
      </c>
      <c r="O16">
        <f>Inventory!I16</f>
        <v/>
      </c>
      <c r="P16" s="8">
        <f>IF(G16="YES",TODAY()+O16,"")</f>
        <v/>
      </c>
    </row>
    <row r="17">
      <c r="A17">
        <f>Inventory!A17</f>
        <v/>
      </c>
      <c r="B17">
        <f>Inventory!B17</f>
        <v/>
      </c>
      <c r="C17">
        <f>Inventory!D17</f>
        <v/>
      </c>
      <c r="D17">
        <f>Inventory!E17</f>
        <v/>
      </c>
      <c r="E17">
        <f>IF(D17&gt;0,ROUND(C17/D17,1),999)</f>
        <v/>
      </c>
      <c r="F17">
        <f>ROUND((D17*(Inventory!I17+SafetyStockDays))*ReorderMultiplier,0)</f>
        <v/>
      </c>
      <c r="G17">
        <f>IF(C17&lt;=F17,"YES","No")</f>
        <v/>
      </c>
      <c r="H17">
        <f>IF(G17="YES",MIN(MaxOrderQty,MAX(MinOrderQty,F17+D17*SafetyStockDays-C17)),0)</f>
        <v/>
      </c>
      <c r="I17" s="6">
        <f>IF(H17&gt;=BulkThreshold,H17*Inventory!F17*(1-BulkDiscount/100),H17*Inventory!F17)</f>
        <v/>
      </c>
      <c r="J17">
        <f>IF(E17&lt;=CriticalDays,"CRITICAL",IF(E17&lt;=WarningDays,"WARNING",IF(E17&gt;=OverstockDays,"OVERSTOCK","OK")))</f>
        <v/>
      </c>
      <c r="K17">
        <f>IF(G17="YES",ROUND((F17-C17)/F17*100+IF(Inventory!F17&gt;HighValueThreshold,20,0),0),0)</f>
        <v/>
      </c>
      <c r="L17">
        <f>IF(Inventory!F17&gt;=HighValueThreshold,"High",IF(Inventory!F17&gt;=LowValueThreshold,"Medium","Low"))</f>
        <v/>
      </c>
      <c r="M17" s="7">
        <f>IF(E17&lt;Inventory!I17,ROUND((Inventory!I17-E17)*D17*Inventory!G17*2.5,0),0)</f>
        <v/>
      </c>
      <c r="N17">
        <f>Inventory!H17</f>
        <v/>
      </c>
      <c r="O17">
        <f>Inventory!I17</f>
        <v/>
      </c>
      <c r="P17" s="8">
        <f>IF(G17="YES",TODAY()+O17,"")</f>
        <v/>
      </c>
    </row>
    <row r="18">
      <c r="A18">
        <f>Inventory!A18</f>
        <v/>
      </c>
      <c r="B18">
        <f>Inventory!B18</f>
        <v/>
      </c>
      <c r="C18">
        <f>Inventory!D18</f>
        <v/>
      </c>
      <c r="D18">
        <f>Inventory!E18</f>
        <v/>
      </c>
      <c r="E18">
        <f>IF(D18&gt;0,ROUND(C18/D18,1),999)</f>
        <v/>
      </c>
      <c r="F18">
        <f>ROUND((D18*(Inventory!I18+SafetyStockDays))*ReorderMultiplier,0)</f>
        <v/>
      </c>
      <c r="G18">
        <f>IF(C18&lt;=F18,"YES","No")</f>
        <v/>
      </c>
      <c r="H18">
        <f>IF(G18="YES",MIN(MaxOrderQty,MAX(MinOrderQty,F18+D18*SafetyStockDays-C18)),0)</f>
        <v/>
      </c>
      <c r="I18" s="6">
        <f>IF(H18&gt;=BulkThreshold,H18*Inventory!F18*(1-BulkDiscount/100),H18*Inventory!F18)</f>
        <v/>
      </c>
      <c r="J18">
        <f>IF(E18&lt;=CriticalDays,"CRITICAL",IF(E18&lt;=WarningDays,"WARNING",IF(E18&gt;=OverstockDays,"OVERSTOCK","OK")))</f>
        <v/>
      </c>
      <c r="K18">
        <f>IF(G18="YES",ROUND((F18-C18)/F18*100+IF(Inventory!F18&gt;HighValueThreshold,20,0),0),0)</f>
        <v/>
      </c>
      <c r="L18">
        <f>IF(Inventory!F18&gt;=HighValueThreshold,"High",IF(Inventory!F18&gt;=LowValueThreshold,"Medium","Low"))</f>
        <v/>
      </c>
      <c r="M18" s="7">
        <f>IF(E18&lt;Inventory!I18,ROUND((Inventory!I18-E18)*D18*Inventory!G18*2.5,0),0)</f>
        <v/>
      </c>
      <c r="N18">
        <f>Inventory!H18</f>
        <v/>
      </c>
      <c r="O18">
        <f>Inventory!I18</f>
        <v/>
      </c>
      <c r="P18" s="8">
        <f>IF(G18="YES",TODAY()+O18,"")</f>
        <v/>
      </c>
    </row>
    <row r="19">
      <c r="A19">
        <f>Inventory!A19</f>
        <v/>
      </c>
      <c r="B19">
        <f>Inventory!B19</f>
        <v/>
      </c>
      <c r="C19">
        <f>Inventory!D19</f>
        <v/>
      </c>
      <c r="D19">
        <f>Inventory!E19</f>
        <v/>
      </c>
      <c r="E19">
        <f>IF(D19&gt;0,ROUND(C19/D19,1),999)</f>
        <v/>
      </c>
      <c r="F19">
        <f>ROUND((D19*(Inventory!I19+SafetyStockDays))*ReorderMultiplier,0)</f>
        <v/>
      </c>
      <c r="G19">
        <f>IF(C19&lt;=F19,"YES","No")</f>
        <v/>
      </c>
      <c r="H19">
        <f>IF(G19="YES",MIN(MaxOrderQty,MAX(MinOrderQty,F19+D19*SafetyStockDays-C19)),0)</f>
        <v/>
      </c>
      <c r="I19" s="6">
        <f>IF(H19&gt;=BulkThreshold,H19*Inventory!F19*(1-BulkDiscount/100),H19*Inventory!F19)</f>
        <v/>
      </c>
      <c r="J19">
        <f>IF(E19&lt;=CriticalDays,"CRITICAL",IF(E19&lt;=WarningDays,"WARNING",IF(E19&gt;=OverstockDays,"OVERSTOCK","OK")))</f>
        <v/>
      </c>
      <c r="K19">
        <f>IF(G19="YES",ROUND((F19-C19)/F19*100+IF(Inventory!F19&gt;HighValueThreshold,20,0),0),0)</f>
        <v/>
      </c>
      <c r="L19">
        <f>IF(Inventory!F19&gt;=HighValueThreshold,"High",IF(Inventory!F19&gt;=LowValueThreshold,"Medium","Low"))</f>
        <v/>
      </c>
      <c r="M19" s="7">
        <f>IF(E19&lt;Inventory!I19,ROUND((Inventory!I19-E19)*D19*Inventory!G19*2.5,0),0)</f>
        <v/>
      </c>
      <c r="N19">
        <f>Inventory!H19</f>
        <v/>
      </c>
      <c r="O19">
        <f>Inventory!I19</f>
        <v/>
      </c>
      <c r="P19" s="8">
        <f>IF(G19="YES",TODAY()+O19,"")</f>
        <v/>
      </c>
    </row>
    <row r="20">
      <c r="A20">
        <f>Inventory!A20</f>
        <v/>
      </c>
      <c r="B20">
        <f>Inventory!B20</f>
        <v/>
      </c>
      <c r="C20">
        <f>Inventory!D20</f>
        <v/>
      </c>
      <c r="D20">
        <f>Inventory!E20</f>
        <v/>
      </c>
      <c r="E20">
        <f>IF(D20&gt;0,ROUND(C20/D20,1),999)</f>
        <v/>
      </c>
      <c r="F20">
        <f>ROUND((D20*(Inventory!I20+SafetyStockDays))*ReorderMultiplier,0)</f>
        <v/>
      </c>
      <c r="G20">
        <f>IF(C20&lt;=F20,"YES","No")</f>
        <v/>
      </c>
      <c r="H20">
        <f>IF(G20="YES",MIN(MaxOrderQty,MAX(MinOrderQty,F20+D20*SafetyStockDays-C20)),0)</f>
        <v/>
      </c>
      <c r="I20" s="6">
        <f>IF(H20&gt;=BulkThreshold,H20*Inventory!F20*(1-BulkDiscount/100),H20*Inventory!F20)</f>
        <v/>
      </c>
      <c r="J20">
        <f>IF(E20&lt;=CriticalDays,"CRITICAL",IF(E20&lt;=WarningDays,"WARNING",IF(E20&gt;=OverstockDays,"OVERSTOCK","OK")))</f>
        <v/>
      </c>
      <c r="K20">
        <f>IF(G20="YES",ROUND((F20-C20)/F20*100+IF(Inventory!F20&gt;HighValueThreshold,20,0),0),0)</f>
        <v/>
      </c>
      <c r="L20">
        <f>IF(Inventory!F20&gt;=HighValueThreshold,"High",IF(Inventory!F20&gt;=LowValueThreshold,"Medium","Low"))</f>
        <v/>
      </c>
      <c r="M20" s="7">
        <f>IF(E20&lt;Inventory!I20,ROUND((Inventory!I20-E20)*D20*Inventory!G20*2.5,0),0)</f>
        <v/>
      </c>
      <c r="N20">
        <f>Inventory!H20</f>
        <v/>
      </c>
      <c r="O20">
        <f>Inventory!I20</f>
        <v/>
      </c>
      <c r="P20" s="8">
        <f>IF(G20="YES",TODAY()+O20,"")</f>
        <v/>
      </c>
    </row>
    <row r="21">
      <c r="A21">
        <f>Inventory!A21</f>
        <v/>
      </c>
      <c r="B21">
        <f>Inventory!B21</f>
        <v/>
      </c>
      <c r="C21">
        <f>Inventory!D21</f>
        <v/>
      </c>
      <c r="D21">
        <f>Inventory!E21</f>
        <v/>
      </c>
      <c r="E21">
        <f>IF(D21&gt;0,ROUND(C21/D21,1),999)</f>
        <v/>
      </c>
      <c r="F21">
        <f>ROUND((D21*(Inventory!I21+SafetyStockDays))*ReorderMultiplier,0)</f>
        <v/>
      </c>
      <c r="G21">
        <f>IF(C21&lt;=F21,"YES","No")</f>
        <v/>
      </c>
      <c r="H21">
        <f>IF(G21="YES",MIN(MaxOrderQty,MAX(MinOrderQty,F21+D21*SafetyStockDays-C21)),0)</f>
        <v/>
      </c>
      <c r="I21" s="6">
        <f>IF(H21&gt;=BulkThreshold,H21*Inventory!F21*(1-BulkDiscount/100),H21*Inventory!F21)</f>
        <v/>
      </c>
      <c r="J21">
        <f>IF(E21&lt;=CriticalDays,"CRITICAL",IF(E21&lt;=WarningDays,"WARNING",IF(E21&gt;=OverstockDays,"OVERSTOCK","OK")))</f>
        <v/>
      </c>
      <c r="K21">
        <f>IF(G21="YES",ROUND((F21-C21)/F21*100+IF(Inventory!F21&gt;HighValueThreshold,20,0),0),0)</f>
        <v/>
      </c>
      <c r="L21">
        <f>IF(Inventory!F21&gt;=HighValueThreshold,"High",IF(Inventory!F21&gt;=LowValueThreshold,"Medium","Low"))</f>
        <v/>
      </c>
      <c r="M21" s="7">
        <f>IF(E21&lt;Inventory!I21,ROUND((Inventory!I21-E21)*D21*Inventory!G21*2.5,0),0)</f>
        <v/>
      </c>
      <c r="N21">
        <f>Inventory!H21</f>
        <v/>
      </c>
      <c r="O21">
        <f>Inventory!I21</f>
        <v/>
      </c>
      <c r="P21" s="8">
        <f>IF(G21="YES",TODAY()+O21,"")</f>
        <v/>
      </c>
    </row>
    <row r="22">
      <c r="A22">
        <f>Inventory!A22</f>
        <v/>
      </c>
      <c r="B22">
        <f>Inventory!B22</f>
        <v/>
      </c>
      <c r="C22">
        <f>Inventory!D22</f>
        <v/>
      </c>
      <c r="D22">
        <f>Inventory!E22</f>
        <v/>
      </c>
      <c r="E22">
        <f>IF(D22&gt;0,ROUND(C22/D22,1),999)</f>
        <v/>
      </c>
      <c r="F22">
        <f>ROUND((D22*(Inventory!I22+SafetyStockDays))*ReorderMultiplier,0)</f>
        <v/>
      </c>
      <c r="G22">
        <f>IF(C22&lt;=F22,"YES","No")</f>
        <v/>
      </c>
      <c r="H22">
        <f>IF(G22="YES",MIN(MaxOrderQty,MAX(MinOrderQty,F22+D22*SafetyStockDays-C22)),0)</f>
        <v/>
      </c>
      <c r="I22" s="6">
        <f>IF(H22&gt;=BulkThreshold,H22*Inventory!F22*(1-BulkDiscount/100),H22*Inventory!F22)</f>
        <v/>
      </c>
      <c r="J22">
        <f>IF(E22&lt;=CriticalDays,"CRITICAL",IF(E22&lt;=WarningDays,"WARNING",IF(E22&gt;=OverstockDays,"OVERSTOCK","OK")))</f>
        <v/>
      </c>
      <c r="K22">
        <f>IF(G22="YES",ROUND((F22-C22)/F22*100+IF(Inventory!F22&gt;HighValueThreshold,20,0),0),0)</f>
        <v/>
      </c>
      <c r="L22">
        <f>IF(Inventory!F22&gt;=HighValueThreshold,"High",IF(Inventory!F22&gt;=LowValueThreshold,"Medium","Low"))</f>
        <v/>
      </c>
      <c r="M22" s="7">
        <f>IF(E22&lt;Inventory!I22,ROUND((Inventory!I22-E22)*D22*Inventory!G22*2.5,0),0)</f>
        <v/>
      </c>
      <c r="N22">
        <f>Inventory!H22</f>
        <v/>
      </c>
      <c r="O22">
        <f>Inventory!I22</f>
        <v/>
      </c>
      <c r="P22" s="8">
        <f>IF(G22="YES",TODAY()+O22,"")</f>
        <v/>
      </c>
    </row>
    <row r="23">
      <c r="A23">
        <f>Inventory!A23</f>
        <v/>
      </c>
      <c r="B23">
        <f>Inventory!B23</f>
        <v/>
      </c>
      <c r="C23">
        <f>Inventory!D23</f>
        <v/>
      </c>
      <c r="D23">
        <f>Inventory!E23</f>
        <v/>
      </c>
      <c r="E23">
        <f>IF(D23&gt;0,ROUND(C23/D23,1),999)</f>
        <v/>
      </c>
      <c r="F23">
        <f>ROUND((D23*(Inventory!I23+SafetyStockDays))*ReorderMultiplier,0)</f>
        <v/>
      </c>
      <c r="G23">
        <f>IF(C23&lt;=F23,"YES","No")</f>
        <v/>
      </c>
      <c r="H23">
        <f>IF(G23="YES",MIN(MaxOrderQty,MAX(MinOrderQty,F23+D23*SafetyStockDays-C23)),0)</f>
        <v/>
      </c>
      <c r="I23" s="6">
        <f>IF(H23&gt;=BulkThreshold,H23*Inventory!F23*(1-BulkDiscount/100),H23*Inventory!F23)</f>
        <v/>
      </c>
      <c r="J23">
        <f>IF(E23&lt;=CriticalDays,"CRITICAL",IF(E23&lt;=WarningDays,"WARNING",IF(E23&gt;=OverstockDays,"OVERSTOCK","OK")))</f>
        <v/>
      </c>
      <c r="K23">
        <f>IF(G23="YES",ROUND((F23-C23)/F23*100+IF(Inventory!F23&gt;HighValueThreshold,20,0),0),0)</f>
        <v/>
      </c>
      <c r="L23">
        <f>IF(Inventory!F23&gt;=HighValueThreshold,"High",IF(Inventory!F23&gt;=LowValueThreshold,"Medium","Low"))</f>
        <v/>
      </c>
      <c r="M23" s="7">
        <f>IF(E23&lt;Inventory!I23,ROUND((Inventory!I23-E23)*D23*Inventory!G23*2.5,0),0)</f>
        <v/>
      </c>
      <c r="N23">
        <f>Inventory!H23</f>
        <v/>
      </c>
      <c r="O23">
        <f>Inventory!I23</f>
        <v/>
      </c>
      <c r="P23" s="8">
        <f>IF(G23="YES",TODAY()+O23,"")</f>
        <v/>
      </c>
    </row>
    <row r="24">
      <c r="A24">
        <f>Inventory!A24</f>
        <v/>
      </c>
      <c r="B24">
        <f>Inventory!B24</f>
        <v/>
      </c>
      <c r="C24">
        <f>Inventory!D24</f>
        <v/>
      </c>
      <c r="D24">
        <f>Inventory!E24</f>
        <v/>
      </c>
      <c r="E24">
        <f>IF(D24&gt;0,ROUND(C24/D24,1),999)</f>
        <v/>
      </c>
      <c r="F24">
        <f>ROUND((D24*(Inventory!I24+SafetyStockDays))*ReorderMultiplier,0)</f>
        <v/>
      </c>
      <c r="G24">
        <f>IF(C24&lt;=F24,"YES","No")</f>
        <v/>
      </c>
      <c r="H24">
        <f>IF(G24="YES",MIN(MaxOrderQty,MAX(MinOrderQty,F24+D24*SafetyStockDays-C24)),0)</f>
        <v/>
      </c>
      <c r="I24" s="6">
        <f>IF(H24&gt;=BulkThreshold,H24*Inventory!F24*(1-BulkDiscount/100),H24*Inventory!F24)</f>
        <v/>
      </c>
      <c r="J24">
        <f>IF(E24&lt;=CriticalDays,"CRITICAL",IF(E24&lt;=WarningDays,"WARNING",IF(E24&gt;=OverstockDays,"OVERSTOCK","OK")))</f>
        <v/>
      </c>
      <c r="K24">
        <f>IF(G24="YES",ROUND((F24-C24)/F24*100+IF(Inventory!F24&gt;HighValueThreshold,20,0),0),0)</f>
        <v/>
      </c>
      <c r="L24">
        <f>IF(Inventory!F24&gt;=HighValueThreshold,"High",IF(Inventory!F24&gt;=LowValueThreshold,"Medium","Low"))</f>
        <v/>
      </c>
      <c r="M24" s="7">
        <f>IF(E24&lt;Inventory!I24,ROUND((Inventory!I24-E24)*D24*Inventory!G24*2.5,0),0)</f>
        <v/>
      </c>
      <c r="N24">
        <f>Inventory!H24</f>
        <v/>
      </c>
      <c r="O24">
        <f>Inventory!I24</f>
        <v/>
      </c>
      <c r="P24" s="8">
        <f>IF(G24="YES",TODAY()+O24,"")</f>
        <v/>
      </c>
    </row>
    <row r="25">
      <c r="A25">
        <f>Inventory!A25</f>
        <v/>
      </c>
      <c r="B25">
        <f>Inventory!B25</f>
        <v/>
      </c>
      <c r="C25">
        <f>Inventory!D25</f>
        <v/>
      </c>
      <c r="D25">
        <f>Inventory!E25</f>
        <v/>
      </c>
      <c r="E25">
        <f>IF(D25&gt;0,ROUND(C25/D25,1),999)</f>
        <v/>
      </c>
      <c r="F25">
        <f>ROUND((D25*(Inventory!I25+SafetyStockDays))*ReorderMultiplier,0)</f>
        <v/>
      </c>
      <c r="G25">
        <f>IF(C25&lt;=F25,"YES","No")</f>
        <v/>
      </c>
      <c r="H25">
        <f>IF(G25="YES",MIN(MaxOrderQty,MAX(MinOrderQty,F25+D25*SafetyStockDays-C25)),0)</f>
        <v/>
      </c>
      <c r="I25" s="6">
        <f>IF(H25&gt;=BulkThreshold,H25*Inventory!F25*(1-BulkDiscount/100),H25*Inventory!F25)</f>
        <v/>
      </c>
      <c r="J25">
        <f>IF(E25&lt;=CriticalDays,"CRITICAL",IF(E25&lt;=WarningDays,"WARNING",IF(E25&gt;=OverstockDays,"OVERSTOCK","OK")))</f>
        <v/>
      </c>
      <c r="K25">
        <f>IF(G25="YES",ROUND((F25-C25)/F25*100+IF(Inventory!F25&gt;HighValueThreshold,20,0),0),0)</f>
        <v/>
      </c>
      <c r="L25">
        <f>IF(Inventory!F25&gt;=HighValueThreshold,"High",IF(Inventory!F25&gt;=LowValueThreshold,"Medium","Low"))</f>
        <v/>
      </c>
      <c r="M25" s="7">
        <f>IF(E25&lt;Inventory!I25,ROUND((Inventory!I25-E25)*D25*Inventory!G25*2.5,0),0)</f>
        <v/>
      </c>
      <c r="N25">
        <f>Inventory!H25</f>
        <v/>
      </c>
      <c r="O25">
        <f>Inventory!I25</f>
        <v/>
      </c>
      <c r="P25" s="8">
        <f>IF(G25="YES",TODAY()+O25,"")</f>
        <v/>
      </c>
    </row>
    <row r="26">
      <c r="A26">
        <f>Inventory!A26</f>
        <v/>
      </c>
      <c r="B26">
        <f>Inventory!B26</f>
        <v/>
      </c>
      <c r="C26">
        <f>Inventory!D26</f>
        <v/>
      </c>
      <c r="D26">
        <f>Inventory!E26</f>
        <v/>
      </c>
      <c r="E26">
        <f>IF(D26&gt;0,ROUND(C26/D26,1),999)</f>
        <v/>
      </c>
      <c r="F26">
        <f>ROUND((D26*(Inventory!I26+SafetyStockDays))*ReorderMultiplier,0)</f>
        <v/>
      </c>
      <c r="G26">
        <f>IF(C26&lt;=F26,"YES","No")</f>
        <v/>
      </c>
      <c r="H26">
        <f>IF(G26="YES",MIN(MaxOrderQty,MAX(MinOrderQty,F26+D26*SafetyStockDays-C26)),0)</f>
        <v/>
      </c>
      <c r="I26" s="6">
        <f>IF(H26&gt;=BulkThreshold,H26*Inventory!F26*(1-BulkDiscount/100),H26*Inventory!F26)</f>
        <v/>
      </c>
      <c r="J26">
        <f>IF(E26&lt;=CriticalDays,"CRITICAL",IF(E26&lt;=WarningDays,"WARNING",IF(E26&gt;=OverstockDays,"OVERSTOCK","OK")))</f>
        <v/>
      </c>
      <c r="K26">
        <f>IF(G26="YES",ROUND((F26-C26)/F26*100+IF(Inventory!F26&gt;HighValueThreshold,20,0),0),0)</f>
        <v/>
      </c>
      <c r="L26">
        <f>IF(Inventory!F26&gt;=HighValueThreshold,"High",IF(Inventory!F26&gt;=LowValueThreshold,"Medium","Low"))</f>
        <v/>
      </c>
      <c r="M26" s="7">
        <f>IF(E26&lt;Inventory!I26,ROUND((Inventory!I26-E26)*D26*Inventory!G26*2.5,0),0)</f>
        <v/>
      </c>
      <c r="N26">
        <f>Inventory!H26</f>
        <v/>
      </c>
      <c r="O26">
        <f>Inventory!I26</f>
        <v/>
      </c>
      <c r="P26" s="8">
        <f>IF(G26="YES",TODAY()+O26,"")</f>
        <v/>
      </c>
    </row>
    <row r="27">
      <c r="A27">
        <f>Inventory!A27</f>
        <v/>
      </c>
      <c r="B27">
        <f>Inventory!B27</f>
        <v/>
      </c>
      <c r="C27">
        <f>Inventory!D27</f>
        <v/>
      </c>
      <c r="D27">
        <f>Inventory!E27</f>
        <v/>
      </c>
      <c r="E27">
        <f>IF(D27&gt;0,ROUND(C27/D27,1),999)</f>
        <v/>
      </c>
      <c r="F27">
        <f>ROUND((D27*(Inventory!I27+SafetyStockDays))*ReorderMultiplier,0)</f>
        <v/>
      </c>
      <c r="G27">
        <f>IF(C27&lt;=F27,"YES","No")</f>
        <v/>
      </c>
      <c r="H27">
        <f>IF(G27="YES",MIN(MaxOrderQty,MAX(MinOrderQty,F27+D27*SafetyStockDays-C27)),0)</f>
        <v/>
      </c>
      <c r="I27" s="6">
        <f>IF(H27&gt;=BulkThreshold,H27*Inventory!F27*(1-BulkDiscount/100),H27*Inventory!F27)</f>
        <v/>
      </c>
      <c r="J27">
        <f>IF(E27&lt;=CriticalDays,"CRITICAL",IF(E27&lt;=WarningDays,"WARNING",IF(E27&gt;=OverstockDays,"OVERSTOCK","OK")))</f>
        <v/>
      </c>
      <c r="K27">
        <f>IF(G27="YES",ROUND((F27-C27)/F27*100+IF(Inventory!F27&gt;HighValueThreshold,20,0),0),0)</f>
        <v/>
      </c>
      <c r="L27">
        <f>IF(Inventory!F27&gt;=HighValueThreshold,"High",IF(Inventory!F27&gt;=LowValueThreshold,"Medium","Low"))</f>
        <v/>
      </c>
      <c r="M27" s="7">
        <f>IF(E27&lt;Inventory!I27,ROUND((Inventory!I27-E27)*D27*Inventory!G27*2.5,0),0)</f>
        <v/>
      </c>
      <c r="N27">
        <f>Inventory!H27</f>
        <v/>
      </c>
      <c r="O27">
        <f>Inventory!I27</f>
        <v/>
      </c>
      <c r="P27" s="8">
        <f>IF(G27="YES",TODAY()+O27,"")</f>
        <v/>
      </c>
    </row>
    <row r="28">
      <c r="A28">
        <f>Inventory!A28</f>
        <v/>
      </c>
      <c r="B28">
        <f>Inventory!B28</f>
        <v/>
      </c>
      <c r="C28">
        <f>Inventory!D28</f>
        <v/>
      </c>
      <c r="D28">
        <f>Inventory!E28</f>
        <v/>
      </c>
      <c r="E28">
        <f>IF(D28&gt;0,ROUND(C28/D28,1),999)</f>
        <v/>
      </c>
      <c r="F28">
        <f>ROUND((D28*(Inventory!I28+SafetyStockDays))*ReorderMultiplier,0)</f>
        <v/>
      </c>
      <c r="G28">
        <f>IF(C28&lt;=F28,"YES","No")</f>
        <v/>
      </c>
      <c r="H28">
        <f>IF(G28="YES",MIN(MaxOrderQty,MAX(MinOrderQty,F28+D28*SafetyStockDays-C28)),0)</f>
        <v/>
      </c>
      <c r="I28" s="6">
        <f>IF(H28&gt;=BulkThreshold,H28*Inventory!F28*(1-BulkDiscount/100),H28*Inventory!F28)</f>
        <v/>
      </c>
      <c r="J28">
        <f>IF(E28&lt;=CriticalDays,"CRITICAL",IF(E28&lt;=WarningDays,"WARNING",IF(E28&gt;=OverstockDays,"OVERSTOCK","OK")))</f>
        <v/>
      </c>
      <c r="K28">
        <f>IF(G28="YES",ROUND((F28-C28)/F28*100+IF(Inventory!F28&gt;HighValueThreshold,20,0),0),0)</f>
        <v/>
      </c>
      <c r="L28">
        <f>IF(Inventory!F28&gt;=HighValueThreshold,"High",IF(Inventory!F28&gt;=LowValueThreshold,"Medium","Low"))</f>
        <v/>
      </c>
      <c r="M28" s="7">
        <f>IF(E28&lt;Inventory!I28,ROUND((Inventory!I28-E28)*D28*Inventory!G28*2.5,0),0)</f>
        <v/>
      </c>
      <c r="N28">
        <f>Inventory!H28</f>
        <v/>
      </c>
      <c r="O28">
        <f>Inventory!I28</f>
        <v/>
      </c>
      <c r="P28" s="8">
        <f>IF(G28="YES",TODAY()+O28,"")</f>
        <v/>
      </c>
    </row>
    <row r="29">
      <c r="A29">
        <f>Inventory!A29</f>
        <v/>
      </c>
      <c r="B29">
        <f>Inventory!B29</f>
        <v/>
      </c>
      <c r="C29">
        <f>Inventory!D29</f>
        <v/>
      </c>
      <c r="D29">
        <f>Inventory!E29</f>
        <v/>
      </c>
      <c r="E29">
        <f>IF(D29&gt;0,ROUND(C29/D29,1),999)</f>
        <v/>
      </c>
      <c r="F29">
        <f>ROUND((D29*(Inventory!I29+SafetyStockDays))*ReorderMultiplier,0)</f>
        <v/>
      </c>
      <c r="G29">
        <f>IF(C29&lt;=F29,"YES","No")</f>
        <v/>
      </c>
      <c r="H29">
        <f>IF(G29="YES",MIN(MaxOrderQty,MAX(MinOrderQty,F29+D29*SafetyStockDays-C29)),0)</f>
        <v/>
      </c>
      <c r="I29" s="6">
        <f>IF(H29&gt;=BulkThreshold,H29*Inventory!F29*(1-BulkDiscount/100),H29*Inventory!F29)</f>
        <v/>
      </c>
      <c r="J29">
        <f>IF(E29&lt;=CriticalDays,"CRITICAL",IF(E29&lt;=WarningDays,"WARNING",IF(E29&gt;=OverstockDays,"OVERSTOCK","OK")))</f>
        <v/>
      </c>
      <c r="K29">
        <f>IF(G29="YES",ROUND((F29-C29)/F29*100+IF(Inventory!F29&gt;HighValueThreshold,20,0),0),0)</f>
        <v/>
      </c>
      <c r="L29">
        <f>IF(Inventory!F29&gt;=HighValueThreshold,"High",IF(Inventory!F29&gt;=LowValueThreshold,"Medium","Low"))</f>
        <v/>
      </c>
      <c r="M29" s="7">
        <f>IF(E29&lt;Inventory!I29,ROUND((Inventory!I29-E29)*D29*Inventory!G29*2.5,0),0)</f>
        <v/>
      </c>
      <c r="N29">
        <f>Inventory!H29</f>
        <v/>
      </c>
      <c r="O29">
        <f>Inventory!I29</f>
        <v/>
      </c>
      <c r="P29" s="8">
        <f>IF(G29="YES",TODAY()+O29,"")</f>
        <v/>
      </c>
    </row>
    <row r="30">
      <c r="A30">
        <f>Inventory!A30</f>
        <v/>
      </c>
      <c r="B30">
        <f>Inventory!B30</f>
        <v/>
      </c>
      <c r="C30">
        <f>Inventory!D30</f>
        <v/>
      </c>
      <c r="D30">
        <f>Inventory!E30</f>
        <v/>
      </c>
      <c r="E30">
        <f>IF(D30&gt;0,ROUND(C30/D30,1),999)</f>
        <v/>
      </c>
      <c r="F30">
        <f>ROUND((D30*(Inventory!I30+SafetyStockDays))*ReorderMultiplier,0)</f>
        <v/>
      </c>
      <c r="G30">
        <f>IF(C30&lt;=F30,"YES","No")</f>
        <v/>
      </c>
      <c r="H30">
        <f>IF(G30="YES",MIN(MaxOrderQty,MAX(MinOrderQty,F30+D30*SafetyStockDays-C30)),0)</f>
        <v/>
      </c>
      <c r="I30" s="6">
        <f>IF(H30&gt;=BulkThreshold,H30*Inventory!F30*(1-BulkDiscount/100),H30*Inventory!F30)</f>
        <v/>
      </c>
      <c r="J30">
        <f>IF(E30&lt;=CriticalDays,"CRITICAL",IF(E30&lt;=WarningDays,"WARNING",IF(E30&gt;=OverstockDays,"OVERSTOCK","OK")))</f>
        <v/>
      </c>
      <c r="K30">
        <f>IF(G30="YES",ROUND((F30-C30)/F30*100+IF(Inventory!F30&gt;HighValueThreshold,20,0),0),0)</f>
        <v/>
      </c>
      <c r="L30">
        <f>IF(Inventory!F30&gt;=HighValueThreshold,"High",IF(Inventory!F30&gt;=LowValueThreshold,"Medium","Low"))</f>
        <v/>
      </c>
      <c r="M30" s="7">
        <f>IF(E30&lt;Inventory!I30,ROUND((Inventory!I30-E30)*D30*Inventory!G30*2.5,0),0)</f>
        <v/>
      </c>
      <c r="N30">
        <f>Inventory!H30</f>
        <v/>
      </c>
      <c r="O30">
        <f>Inventory!I30</f>
        <v/>
      </c>
      <c r="P30" s="8">
        <f>IF(G30="YES",TODAY()+O30,"")</f>
        <v/>
      </c>
    </row>
    <row r="31">
      <c r="A31">
        <f>Inventory!A31</f>
        <v/>
      </c>
      <c r="B31">
        <f>Inventory!B31</f>
        <v/>
      </c>
      <c r="C31">
        <f>Inventory!D31</f>
        <v/>
      </c>
      <c r="D31">
        <f>Inventory!E31</f>
        <v/>
      </c>
      <c r="E31">
        <f>IF(D31&gt;0,ROUND(C31/D31,1),999)</f>
        <v/>
      </c>
      <c r="F31">
        <f>ROUND((D31*(Inventory!I31+SafetyStockDays))*ReorderMultiplier,0)</f>
        <v/>
      </c>
      <c r="G31">
        <f>IF(C31&lt;=F31,"YES","No")</f>
        <v/>
      </c>
      <c r="H31">
        <f>IF(G31="YES",MIN(MaxOrderQty,MAX(MinOrderQty,F31+D31*SafetyStockDays-C31)),0)</f>
        <v/>
      </c>
      <c r="I31" s="6">
        <f>IF(H31&gt;=BulkThreshold,H31*Inventory!F31*(1-BulkDiscount/100),H31*Inventory!F31)</f>
        <v/>
      </c>
      <c r="J31">
        <f>IF(E31&lt;=CriticalDays,"CRITICAL",IF(E31&lt;=WarningDays,"WARNING",IF(E31&gt;=OverstockDays,"OVERSTOCK","OK")))</f>
        <v/>
      </c>
      <c r="K31">
        <f>IF(G31="YES",ROUND((F31-C31)/F31*100+IF(Inventory!F31&gt;HighValueThreshold,20,0),0),0)</f>
        <v/>
      </c>
      <c r="L31">
        <f>IF(Inventory!F31&gt;=HighValueThreshold,"High",IF(Inventory!F31&gt;=LowValueThreshold,"Medium","Low"))</f>
        <v/>
      </c>
      <c r="M31" s="7">
        <f>IF(E31&lt;Inventory!I31,ROUND((Inventory!I31-E31)*D31*Inventory!G31*2.5,0),0)</f>
        <v/>
      </c>
      <c r="N31">
        <f>Inventory!H31</f>
        <v/>
      </c>
      <c r="O31">
        <f>Inventory!I31</f>
        <v/>
      </c>
      <c r="P31" s="8">
        <f>IF(G31="YES",TODAY()+O31,"")</f>
        <v/>
      </c>
    </row>
    <row r="32">
      <c r="A32">
        <f>Inventory!A32</f>
        <v/>
      </c>
      <c r="B32">
        <f>Inventory!B32</f>
        <v/>
      </c>
      <c r="C32">
        <f>Inventory!D32</f>
        <v/>
      </c>
      <c r="D32">
        <f>Inventory!E32</f>
        <v/>
      </c>
      <c r="E32">
        <f>IF(D32&gt;0,ROUND(C32/D32,1),999)</f>
        <v/>
      </c>
      <c r="F32">
        <f>ROUND((D32*(Inventory!I32+SafetyStockDays))*ReorderMultiplier,0)</f>
        <v/>
      </c>
      <c r="G32">
        <f>IF(C32&lt;=F32,"YES","No")</f>
        <v/>
      </c>
      <c r="H32">
        <f>IF(G32="YES",MIN(MaxOrderQty,MAX(MinOrderQty,F32+D32*SafetyStockDays-C32)),0)</f>
        <v/>
      </c>
      <c r="I32" s="6">
        <f>IF(H32&gt;=BulkThreshold,H32*Inventory!F32*(1-BulkDiscount/100),H32*Inventory!F32)</f>
        <v/>
      </c>
      <c r="J32">
        <f>IF(E32&lt;=CriticalDays,"CRITICAL",IF(E32&lt;=WarningDays,"WARNING",IF(E32&gt;=OverstockDays,"OVERSTOCK","OK")))</f>
        <v/>
      </c>
      <c r="K32">
        <f>IF(G32="YES",ROUND((F32-C32)/F32*100+IF(Inventory!F32&gt;HighValueThreshold,20,0),0),0)</f>
        <v/>
      </c>
      <c r="L32">
        <f>IF(Inventory!F32&gt;=HighValueThreshold,"High",IF(Inventory!F32&gt;=LowValueThreshold,"Medium","Low"))</f>
        <v/>
      </c>
      <c r="M32" s="7">
        <f>IF(E32&lt;Inventory!I32,ROUND((Inventory!I32-E32)*D32*Inventory!G32*2.5,0),0)</f>
        <v/>
      </c>
      <c r="N32">
        <f>Inventory!H32</f>
        <v/>
      </c>
      <c r="O32">
        <f>Inventory!I32</f>
        <v/>
      </c>
      <c r="P32" s="8">
        <f>IF(G32="YES",TODAY()+O32,"")</f>
        <v/>
      </c>
    </row>
    <row r="33">
      <c r="A33">
        <f>Inventory!A33</f>
        <v/>
      </c>
      <c r="B33">
        <f>Inventory!B33</f>
        <v/>
      </c>
      <c r="C33">
        <f>Inventory!D33</f>
        <v/>
      </c>
      <c r="D33">
        <f>Inventory!E33</f>
        <v/>
      </c>
      <c r="E33">
        <f>IF(D33&gt;0,ROUND(C33/D33,1),999)</f>
        <v/>
      </c>
      <c r="F33">
        <f>ROUND((D33*(Inventory!I33+SafetyStockDays))*ReorderMultiplier,0)</f>
        <v/>
      </c>
      <c r="G33">
        <f>IF(C33&lt;=F33,"YES","No")</f>
        <v/>
      </c>
      <c r="H33">
        <f>IF(G33="YES",MIN(MaxOrderQty,MAX(MinOrderQty,F33+D33*SafetyStockDays-C33)),0)</f>
        <v/>
      </c>
      <c r="I33" s="6">
        <f>IF(H33&gt;=BulkThreshold,H33*Inventory!F33*(1-BulkDiscount/100),H33*Inventory!F33)</f>
        <v/>
      </c>
      <c r="J33">
        <f>IF(E33&lt;=CriticalDays,"CRITICAL",IF(E33&lt;=WarningDays,"WARNING",IF(E33&gt;=OverstockDays,"OVERSTOCK","OK")))</f>
        <v/>
      </c>
      <c r="K33">
        <f>IF(G33="YES",ROUND((F33-C33)/F33*100+IF(Inventory!F33&gt;HighValueThreshold,20,0),0),0)</f>
        <v/>
      </c>
      <c r="L33">
        <f>IF(Inventory!F33&gt;=HighValueThreshold,"High",IF(Inventory!F33&gt;=LowValueThreshold,"Medium","Low"))</f>
        <v/>
      </c>
      <c r="M33" s="7">
        <f>IF(E33&lt;Inventory!I33,ROUND((Inventory!I33-E33)*D33*Inventory!G33*2.5,0),0)</f>
        <v/>
      </c>
      <c r="N33">
        <f>Inventory!H33</f>
        <v/>
      </c>
      <c r="O33">
        <f>Inventory!I33</f>
        <v/>
      </c>
      <c r="P33" s="8">
        <f>IF(G33="YES",TODAY()+O33,"")</f>
        <v/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22" customWidth="1" min="4" max="4"/>
    <col width="20" customWidth="1" min="5" max="5"/>
    <col width="12" customWidth="1" min="6" max="6"/>
    <col width="10" customWidth="1" min="7" max="7"/>
  </cols>
  <sheetData>
    <row r="1">
      <c r="A1" s="9" t="inlineStr">
        <is>
          <t>Inventory Reorder Decisions</t>
        </is>
      </c>
    </row>
    <row r="3">
      <c r="A3" s="10" t="inlineStr">
        <is>
          <t>INVENTORY SUMMARY</t>
        </is>
      </c>
      <c r="D3" s="10" t="inlineStr">
        <is>
          <t>RISK ASSESSMENT</t>
        </is>
      </c>
    </row>
    <row r="4">
      <c r="A4" t="inlineStr">
        <is>
          <t>Total SKUs</t>
        </is>
      </c>
      <c r="B4" s="11">
        <f>COUNTA(Analysis!A:A)-1</f>
        <v/>
      </c>
      <c r="D4" t="inlineStr">
        <is>
          <t>Total Stockout Risk ($)</t>
        </is>
      </c>
      <c r="E4" s="12">
        <f>SUM(Analysis!M:M)</f>
        <v/>
      </c>
    </row>
    <row r="5">
      <c r="A5" t="inlineStr">
        <is>
          <t>Items Below Reorder Point</t>
        </is>
      </c>
      <c r="B5" s="11">
        <f>COUNTIF(Analysis!G:G,"YES")</f>
        <v/>
      </c>
      <c r="D5" t="inlineStr">
        <is>
          <t>Highest Risk Item</t>
        </is>
      </c>
      <c r="E5" s="11">
        <f>INDEX(Analysis!B:B,MATCH(MAX(Analysis!M:M),Analysis!M:M,0))</f>
        <v/>
      </c>
    </row>
    <row r="6">
      <c r="A6" t="inlineStr">
        <is>
          <t>Critical Stock Items</t>
        </is>
      </c>
      <c r="B6" s="11">
        <f>COUNTIF(Analysis!J:J,"CRITICAL")</f>
        <v/>
      </c>
      <c r="D6" t="inlineStr">
        <is>
          <t>Highest Risk Amount ($)</t>
        </is>
      </c>
      <c r="E6" s="12">
        <f>MAX(Analysis!M:M)</f>
        <v/>
      </c>
    </row>
    <row r="7">
      <c r="A7" t="inlineStr">
        <is>
          <t>Warning Stock Items</t>
        </is>
      </c>
      <c r="B7" s="11">
        <f>COUNTIF(Analysis!J:J,"WARNING")</f>
        <v/>
      </c>
      <c r="D7" t="inlineStr">
        <is>
          <t>Items at Stockout Risk</t>
        </is>
      </c>
      <c r="E7" s="11">
        <f>COUNTIF(Analysis!M:M,"&gt;0")</f>
        <v/>
      </c>
    </row>
    <row r="8">
      <c r="A8" t="inlineStr">
        <is>
          <t>Overstock Items</t>
        </is>
      </c>
      <c r="B8" s="11">
        <f>COUNTIF(Analysis!J:J,"OVERSTOCK")</f>
        <v/>
      </c>
      <c r="D8" t="inlineStr">
        <is>
          <t>Avg Lead Time (days)</t>
        </is>
      </c>
      <c r="E8" s="13">
        <f>AVERAGEIF(Analysis!O:O,"&gt;0")</f>
        <v/>
      </c>
    </row>
    <row r="9">
      <c r="A9" t="inlineStr">
        <is>
          <t>Items OK</t>
        </is>
      </c>
      <c r="B9" s="11">
        <f>COUNTIF(Analysis!J:J,"OK")</f>
        <v/>
      </c>
      <c r="D9" t="inlineStr">
        <is>
          <t>Longest Lead Time (days)</t>
        </is>
      </c>
      <c r="E9" s="14">
        <f>MAX(Analysis!O:O)</f>
        <v/>
      </c>
    </row>
    <row r="10">
      <c r="A10" t="inlineStr">
        <is>
          <t>Total Inventory Value ($)</t>
        </is>
      </c>
      <c r="B10" s="12">
        <f>SUMPRODUCT(Inventory!D4:D33,Inventory!F4:F33)</f>
        <v/>
      </c>
    </row>
    <row r="11">
      <c r="A11" t="inlineStr">
        <is>
          <t>Avg Days of Stock</t>
        </is>
      </c>
      <c r="B11" s="13">
        <f>AVERAGEIF(Analysis!E:E,"&lt;999")</f>
        <v/>
      </c>
      <c r="D11" s="10" t="inlineStr">
        <is>
          <t>DECISION</t>
        </is>
      </c>
    </row>
    <row r="12">
      <c r="D12" t="inlineStr">
        <is>
          <t>Action Required</t>
        </is>
      </c>
      <c r="E12" s="1">
        <f>IF(B6&gt;0,"IMMEDIATE REORDER NEEDED",IF(B7&gt;0,"MONITOR CLOSELY","INVENTORY HEALTHY"))</f>
        <v/>
      </c>
    </row>
    <row r="13">
      <c r="A13" s="10" t="inlineStr">
        <is>
          <t>REORDER RECOMMENDATIONS</t>
        </is>
      </c>
      <c r="D13" t="inlineStr">
        <is>
          <t>Priority Level</t>
        </is>
      </c>
      <c r="E13" s="15">
        <f>IF(B6&gt;3,"HIGH",IF(B6&gt;0,"MEDIUM",IF(B7&gt;5,"LOW","NONE")))</f>
        <v/>
      </c>
    </row>
    <row r="14">
      <c r="A14" t="inlineStr">
        <is>
          <t>Items to Reorder Now</t>
        </is>
      </c>
      <c r="B14" s="11">
        <f>COUNTIF(Analysis!G:G,"YES")</f>
        <v/>
      </c>
      <c r="D14" t="inlineStr">
        <is>
          <t>Budget Status</t>
        </is>
      </c>
      <c r="E14" s="15">
        <f>IF(B28="No","Within Budget","OVER BUDGET")</f>
        <v/>
      </c>
    </row>
    <row r="15">
      <c r="A15" t="inlineStr">
        <is>
          <t>Total Units to Order</t>
        </is>
      </c>
      <c r="B15" s="14">
        <f>SUMIF(Analysis!G:G,"YES",Analysis!H:H)</f>
        <v/>
      </c>
    </row>
    <row r="16">
      <c r="A16" t="inlineStr">
        <is>
          <t>Total Reorder Cost ($)</t>
        </is>
      </c>
      <c r="B16" s="16">
        <f>SUMIF(Analysis!G:G,"YES",Analysis!I:I)</f>
        <v/>
      </c>
    </row>
    <row r="17">
      <c r="A17" t="inlineStr">
        <is>
          <t>High Priority Orders</t>
        </is>
      </c>
      <c r="B17" s="11">
        <f>COUNTIFS(Analysis!G:G,"YES",Analysis!K:K,"&gt;=50")</f>
        <v/>
      </c>
    </row>
    <row r="18">
      <c r="A18" t="inlineStr">
        <is>
          <t>High Value Orders</t>
        </is>
      </c>
      <c r="B18" s="11">
        <f>COUNTIFS(Analysis!G:G,"YES",Analysis!L:L,"High")</f>
        <v/>
      </c>
    </row>
    <row r="19">
      <c r="A19" t="inlineStr">
        <is>
          <t>Orders Qualifying for Bulk Discount</t>
        </is>
      </c>
      <c r="B19" s="11">
        <f>COUNTIFS(Analysis!G:G,"YES",Analysis!H:H,"&gt;="&amp;BulkThreshold)</f>
        <v/>
      </c>
    </row>
    <row r="20">
      <c r="A20" t="inlineStr">
        <is>
          <t>Estimated Bulk Savings ($)</t>
        </is>
      </c>
      <c r="B20" s="16">
        <f>SUMPRODUCT((Analysis!G4:G33="YES")*(Analysis!H4:H33&gt;=BulkThreshold)*(Analysis!H4:H33)*(Inventory!F4:F33)*(BulkDiscount/100))</f>
        <v/>
      </c>
    </row>
    <row r="22">
      <c r="A22" s="10" t="inlineStr">
        <is>
          <t>BUDGET ANALYSIS</t>
        </is>
      </c>
    </row>
    <row r="23">
      <c r="A23" t="inlineStr">
        <is>
          <t>Monthly Budget ($)</t>
        </is>
      </c>
      <c r="B23" s="12">
        <f>MonthlyBudget</f>
        <v/>
      </c>
    </row>
    <row r="24">
      <c r="A24" t="inlineStr">
        <is>
          <t>Total Reorder Cost ($)</t>
        </is>
      </c>
      <c r="B24" s="16">
        <f>B15</f>
        <v/>
      </c>
    </row>
    <row r="25">
      <c r="A25" t="inlineStr">
        <is>
          <t>Remaining Budget ($)</t>
        </is>
      </c>
      <c r="B25" s="16">
        <f>B24-B25</f>
        <v/>
      </c>
    </row>
    <row r="26">
      <c r="A26" t="inlineStr">
        <is>
          <t>Budget Utilization (%)</t>
        </is>
      </c>
      <c r="B26" s="17">
        <f>B25/B24</f>
        <v/>
      </c>
    </row>
    <row r="27">
      <c r="A27" t="inlineStr">
        <is>
          <t>Over Budget?</t>
        </is>
      </c>
      <c r="B27" s="11">
        <f>IF(B25&gt;B24,"YES - REVIEW ORDERS","No")</f>
        <v/>
      </c>
    </row>
    <row r="28">
      <c r="A28" t="inlineStr">
        <is>
          <t>Orders Exceeding Max ($)</t>
        </is>
      </c>
      <c r="B28" s="11">
        <f>COUNTIFS(Analysis!G:G,"YES",Analysis!I:I,"&gt;"&amp;MaxOrderCost)</f>
        <v/>
      </c>
    </row>
    <row r="32">
      <c r="A32" s="15" t="inlineStr">
        <is>
          <t>ITEMS TO REORDER (Sorted by Priority)</t>
        </is>
      </c>
    </row>
    <row r="33">
      <c r="A33" s="18" t="inlineStr">
        <is>
          <t>SKU</t>
        </is>
      </c>
      <c r="B33" s="18" t="inlineStr">
        <is>
          <t>Product</t>
        </is>
      </c>
      <c r="C33" s="18" t="inlineStr">
        <is>
          <t>Current Stock</t>
        </is>
      </c>
      <c r="D33" s="18" t="inlineStr">
        <is>
          <t>Reorder Point</t>
        </is>
      </c>
      <c r="E33" s="18" t="inlineStr">
        <is>
          <t>Qty to Order</t>
        </is>
      </c>
      <c r="F33" s="18" t="inlineStr">
        <is>
          <t>Order Cost</t>
        </is>
      </c>
      <c r="G33" s="18" t="inlineStr">
        <is>
          <t>Priority</t>
        </is>
      </c>
    </row>
    <row r="34">
      <c r="A34">
        <f>IFERROR(INDEX(Analysis!A:A,SMALL(IF(Analysis!G:G="YES",ROW(Analysis!G:G)),1)),"")</f>
        <v/>
      </c>
      <c r="B34">
        <f>IF(A34&lt;&gt;"",INDEX(Analysis!B:B,MATCH(A34,Analysis!A:A,0)),"")</f>
        <v/>
      </c>
      <c r="C34">
        <f>IF(A34&lt;&gt;"",INDEX(Analysis!C:C,MATCH(A34,Analysis!A:A,0)),"")</f>
        <v/>
      </c>
      <c r="D34">
        <f>IF(A34&lt;&gt;"",INDEX(Analysis!F:F,MATCH(A34,Analysis!A:A,0)),"")</f>
        <v/>
      </c>
      <c r="E34">
        <f>IF(A34&lt;&gt;"",INDEX(Analysis!H:H,MATCH(A34,Analysis!A:A,0)),"")</f>
        <v/>
      </c>
      <c r="F34" s="6">
        <f>IF(A34&lt;&gt;"",INDEX(Analysis!I:I,MATCH(A34,Analysis!A:A,0)),"")</f>
        <v/>
      </c>
      <c r="G34">
        <f>IF(A34&lt;&gt;"",INDEX(Analysis!K:K,MATCH(A34,Analysis!A:A,0)),"")</f>
        <v/>
      </c>
    </row>
    <row r="35">
      <c r="A35">
        <f>IFERROR(INDEX(Analysis!A:A,SMALL(IF(Analysis!G:G="YES",ROW(Analysis!G:G)),2)),"")</f>
        <v/>
      </c>
      <c r="B35">
        <f>IF(A35&lt;&gt;"",INDEX(Analysis!B:B,MATCH(A35,Analysis!A:A,0)),"")</f>
        <v/>
      </c>
      <c r="C35">
        <f>IF(A35&lt;&gt;"",INDEX(Analysis!C:C,MATCH(A35,Analysis!A:A,0)),"")</f>
        <v/>
      </c>
      <c r="D35">
        <f>IF(A35&lt;&gt;"",INDEX(Analysis!F:F,MATCH(A35,Analysis!A:A,0)),"")</f>
        <v/>
      </c>
      <c r="E35">
        <f>IF(A35&lt;&gt;"",INDEX(Analysis!H:H,MATCH(A35,Analysis!A:A,0)),"")</f>
        <v/>
      </c>
      <c r="F35" s="6">
        <f>IF(A35&lt;&gt;"",INDEX(Analysis!I:I,MATCH(A35,Analysis!A:A,0)),"")</f>
        <v/>
      </c>
      <c r="G35">
        <f>IF(A35&lt;&gt;"",INDEX(Analysis!K:K,MATCH(A35,Analysis!A:A,0)),"")</f>
        <v/>
      </c>
    </row>
    <row r="36">
      <c r="A36">
        <f>IFERROR(INDEX(Analysis!A:A,SMALL(IF(Analysis!G:G="YES",ROW(Analysis!G:G)),3)),"")</f>
        <v/>
      </c>
      <c r="B36">
        <f>IF(A36&lt;&gt;"",INDEX(Analysis!B:B,MATCH(A36,Analysis!A:A,0)),"")</f>
        <v/>
      </c>
      <c r="C36">
        <f>IF(A36&lt;&gt;"",INDEX(Analysis!C:C,MATCH(A36,Analysis!A:A,0)),"")</f>
        <v/>
      </c>
      <c r="D36">
        <f>IF(A36&lt;&gt;"",INDEX(Analysis!F:F,MATCH(A36,Analysis!A:A,0)),"")</f>
        <v/>
      </c>
      <c r="E36">
        <f>IF(A36&lt;&gt;"",INDEX(Analysis!H:H,MATCH(A36,Analysis!A:A,0)),"")</f>
        <v/>
      </c>
      <c r="F36" s="6">
        <f>IF(A36&lt;&gt;"",INDEX(Analysis!I:I,MATCH(A36,Analysis!A:A,0)),"")</f>
        <v/>
      </c>
      <c r="G36">
        <f>IF(A36&lt;&gt;"",INDEX(Analysis!K:K,MATCH(A36,Analysis!A:A,0)),"")</f>
        <v/>
      </c>
    </row>
    <row r="37">
      <c r="A37">
        <f>IFERROR(INDEX(Analysis!A:A,SMALL(IF(Analysis!G:G="YES",ROW(Analysis!G:G)),4)),"")</f>
        <v/>
      </c>
      <c r="B37">
        <f>IF(A37&lt;&gt;"",INDEX(Analysis!B:B,MATCH(A37,Analysis!A:A,0)),"")</f>
        <v/>
      </c>
      <c r="C37">
        <f>IF(A37&lt;&gt;"",INDEX(Analysis!C:C,MATCH(A37,Analysis!A:A,0)),"")</f>
        <v/>
      </c>
      <c r="D37">
        <f>IF(A37&lt;&gt;"",INDEX(Analysis!F:F,MATCH(A37,Analysis!A:A,0)),"")</f>
        <v/>
      </c>
      <c r="E37">
        <f>IF(A37&lt;&gt;"",INDEX(Analysis!H:H,MATCH(A37,Analysis!A:A,0)),"")</f>
        <v/>
      </c>
      <c r="F37" s="6">
        <f>IF(A37&lt;&gt;"",INDEX(Analysis!I:I,MATCH(A37,Analysis!A:A,0)),"")</f>
        <v/>
      </c>
      <c r="G37">
        <f>IF(A37&lt;&gt;"",INDEX(Analysis!K:K,MATCH(A37,Analysis!A:A,0)),"")</f>
        <v/>
      </c>
    </row>
    <row r="38">
      <c r="A38">
        <f>IFERROR(INDEX(Analysis!A:A,SMALL(IF(Analysis!G:G="YES",ROW(Analysis!G:G)),5)),"")</f>
        <v/>
      </c>
      <c r="B38">
        <f>IF(A38&lt;&gt;"",INDEX(Analysis!B:B,MATCH(A38,Analysis!A:A,0)),"")</f>
        <v/>
      </c>
      <c r="C38">
        <f>IF(A38&lt;&gt;"",INDEX(Analysis!C:C,MATCH(A38,Analysis!A:A,0)),"")</f>
        <v/>
      </c>
      <c r="D38">
        <f>IF(A38&lt;&gt;"",INDEX(Analysis!F:F,MATCH(A38,Analysis!A:A,0)),"")</f>
        <v/>
      </c>
      <c r="E38">
        <f>IF(A38&lt;&gt;"",INDEX(Analysis!H:H,MATCH(A38,Analysis!A:A,0)),"")</f>
        <v/>
      </c>
      <c r="F38" s="6">
        <f>IF(A38&lt;&gt;"",INDEX(Analysis!I:I,MATCH(A38,Analysis!A:A,0)),"")</f>
        <v/>
      </c>
      <c r="G38">
        <f>IF(A38&lt;&gt;"",INDEX(Analysis!K:K,MATCH(A38,Analysis!A:A,0)),"")</f>
        <v/>
      </c>
    </row>
    <row r="39">
      <c r="A39">
        <f>IFERROR(INDEX(Analysis!A:A,SMALL(IF(Analysis!G:G="YES",ROW(Analysis!G:G)),6)),"")</f>
        <v/>
      </c>
      <c r="B39">
        <f>IF(A39&lt;&gt;"",INDEX(Analysis!B:B,MATCH(A39,Analysis!A:A,0)),"")</f>
        <v/>
      </c>
      <c r="C39">
        <f>IF(A39&lt;&gt;"",INDEX(Analysis!C:C,MATCH(A39,Analysis!A:A,0)),"")</f>
        <v/>
      </c>
      <c r="D39">
        <f>IF(A39&lt;&gt;"",INDEX(Analysis!F:F,MATCH(A39,Analysis!A:A,0)),"")</f>
        <v/>
      </c>
      <c r="E39">
        <f>IF(A39&lt;&gt;"",INDEX(Analysis!H:H,MATCH(A39,Analysis!A:A,0)),"")</f>
        <v/>
      </c>
      <c r="F39" s="6">
        <f>IF(A39&lt;&gt;"",INDEX(Analysis!I:I,MATCH(A39,Analysis!A:A,0)),"")</f>
        <v/>
      </c>
      <c r="G39">
        <f>IF(A39&lt;&gt;"",INDEX(Analysis!K:K,MATCH(A39,Analysis!A:A,0)),"")</f>
        <v/>
      </c>
    </row>
    <row r="40">
      <c r="A40">
        <f>IFERROR(INDEX(Analysis!A:A,SMALL(IF(Analysis!G:G="YES",ROW(Analysis!G:G)),7)),"")</f>
        <v/>
      </c>
      <c r="B40">
        <f>IF(A40&lt;&gt;"",INDEX(Analysis!B:B,MATCH(A40,Analysis!A:A,0)),"")</f>
        <v/>
      </c>
      <c r="C40">
        <f>IF(A40&lt;&gt;"",INDEX(Analysis!C:C,MATCH(A40,Analysis!A:A,0)),"")</f>
        <v/>
      </c>
      <c r="D40">
        <f>IF(A40&lt;&gt;"",INDEX(Analysis!F:F,MATCH(A40,Analysis!A:A,0)),"")</f>
        <v/>
      </c>
      <c r="E40">
        <f>IF(A40&lt;&gt;"",INDEX(Analysis!H:H,MATCH(A40,Analysis!A:A,0)),"")</f>
        <v/>
      </c>
      <c r="F40" s="6">
        <f>IF(A40&lt;&gt;"",INDEX(Analysis!I:I,MATCH(A40,Analysis!A:A,0)),"")</f>
        <v/>
      </c>
      <c r="G40">
        <f>IF(A40&lt;&gt;"",INDEX(Analysis!K:K,MATCH(A40,Analysis!A:A,0)),"")</f>
        <v/>
      </c>
    </row>
    <row r="41">
      <c r="A41">
        <f>IFERROR(INDEX(Analysis!A:A,SMALL(IF(Analysis!G:G="YES",ROW(Analysis!G:G)),8)),"")</f>
        <v/>
      </c>
      <c r="B41">
        <f>IF(A41&lt;&gt;"",INDEX(Analysis!B:B,MATCH(A41,Analysis!A:A,0)),"")</f>
        <v/>
      </c>
      <c r="C41">
        <f>IF(A41&lt;&gt;"",INDEX(Analysis!C:C,MATCH(A41,Analysis!A:A,0)),"")</f>
        <v/>
      </c>
      <c r="D41">
        <f>IF(A41&lt;&gt;"",INDEX(Analysis!F:F,MATCH(A41,Analysis!A:A,0)),"")</f>
        <v/>
      </c>
      <c r="E41">
        <f>IF(A41&lt;&gt;"",INDEX(Analysis!H:H,MATCH(A41,Analysis!A:A,0)),"")</f>
        <v/>
      </c>
      <c r="F41" s="6">
        <f>IF(A41&lt;&gt;"",INDEX(Analysis!I:I,MATCH(A41,Analysis!A:A,0)),"")</f>
        <v/>
      </c>
      <c r="G41">
        <f>IF(A41&lt;&gt;"",INDEX(Analysis!K:K,MATCH(A41,Analysis!A:A,0)),"")</f>
        <v/>
      </c>
    </row>
    <row r="42">
      <c r="A42">
        <f>IFERROR(INDEX(Analysis!A:A,SMALL(IF(Analysis!G:G="YES",ROW(Analysis!G:G)),9)),"")</f>
        <v/>
      </c>
      <c r="B42">
        <f>IF(A42&lt;&gt;"",INDEX(Analysis!B:B,MATCH(A42,Analysis!A:A,0)),"")</f>
        <v/>
      </c>
      <c r="C42">
        <f>IF(A42&lt;&gt;"",INDEX(Analysis!C:C,MATCH(A42,Analysis!A:A,0)),"")</f>
        <v/>
      </c>
      <c r="D42">
        <f>IF(A42&lt;&gt;"",INDEX(Analysis!F:F,MATCH(A42,Analysis!A:A,0)),"")</f>
        <v/>
      </c>
      <c r="E42">
        <f>IF(A42&lt;&gt;"",INDEX(Analysis!H:H,MATCH(A42,Analysis!A:A,0)),"")</f>
        <v/>
      </c>
      <c r="F42" s="6">
        <f>IF(A42&lt;&gt;"",INDEX(Analysis!I:I,MATCH(A42,Analysis!A:A,0)),"")</f>
        <v/>
      </c>
      <c r="G42">
        <f>IF(A42&lt;&gt;"",INDEX(Analysis!K:K,MATCH(A42,Analysis!A:A,0)),"")</f>
        <v/>
      </c>
    </row>
    <row r="43">
      <c r="A43">
        <f>IFERROR(INDEX(Analysis!A:A,SMALL(IF(Analysis!G:G="YES",ROW(Analysis!G:G)),10)),"")</f>
        <v/>
      </c>
      <c r="B43">
        <f>IF(A43&lt;&gt;"",INDEX(Analysis!B:B,MATCH(A43,Analysis!A:A,0)),"")</f>
        <v/>
      </c>
      <c r="C43">
        <f>IF(A43&lt;&gt;"",INDEX(Analysis!C:C,MATCH(A43,Analysis!A:A,0)),"")</f>
        <v/>
      </c>
      <c r="D43">
        <f>IF(A43&lt;&gt;"",INDEX(Analysis!F:F,MATCH(A43,Analysis!A:A,0)),"")</f>
        <v/>
      </c>
      <c r="E43">
        <f>IF(A43&lt;&gt;"",INDEX(Analysis!H:H,MATCH(A43,Analysis!A:A,0)),"")</f>
        <v/>
      </c>
      <c r="F43" s="6">
        <f>IF(A43&lt;&gt;"",INDEX(Analysis!I:I,MATCH(A43,Analysis!A:A,0)),"")</f>
        <v/>
      </c>
      <c r="G43">
        <f>IF(A43&lt;&gt;"",INDEX(Analysis!K:K,MATCH(A43,Analysis!A:A,0)),"")</f>
        <v/>
      </c>
    </row>
    <row r="46">
      <c r="A46" s="19" t="inlineStr">
        <is>
          <t>HOW TO USE:</t>
        </is>
      </c>
    </row>
    <row r="47">
      <c r="A47" s="20" t="inlineStr">
        <is>
          <t>1. Update inventory levels in the Inventory sheet as stock changes</t>
        </is>
      </c>
    </row>
    <row r="48">
      <c r="A48" s="20" t="inlineStr">
        <is>
          <t>2. Adjust parameters (safety stock, thresholds) in Parameters sheet as needed</t>
        </is>
      </c>
    </row>
    <row r="49">
      <c r="A49" s="20" t="inlineStr">
        <is>
          <t>3. Analysis sheet auto-calculates reorder points and quantities</t>
        </is>
      </c>
    </row>
    <row r="50">
      <c r="A50" s="20" t="inlineStr">
        <is>
          <t>4. Review this sheet for reorder decisions and priorities</t>
        </is>
      </c>
    </row>
    <row r="51">
      <c r="A51" s="20" t="inlineStr">
        <is>
          <t>5. Process orders starting with highest priority items</t>
        </is>
      </c>
    </row>
    <row r="52">
      <c r="A52" s="20" t="inlineStr">
        <is>
          <t>6. Check Budget Status before placing orders</t>
        </is>
      </c>
    </row>
  </sheetData>
  <mergeCells count="7">
    <mergeCell ref="A32:G32"/>
    <mergeCell ref="D11:E11"/>
    <mergeCell ref="A1:F1"/>
    <mergeCell ref="A13:B13"/>
    <mergeCell ref="D3:E3"/>
    <mergeCell ref="A3:B3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2026-01-24T02:35:27Z</dcterms:created>
  <dcterms:modified xsi:type="dcterms:W3CDTF">2026-01-24T02:35:27Z</dcterms:modified>
</cp:coreProperties>
</file>