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Raw Data" sheetId="2" state="visible" r:id="rId2"/>
    <sheet name="Processing" sheetId="3" state="visible" r:id="rId3"/>
    <sheet name="Outp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 h:mm:ss"/>
    <numFmt numFmtId="166" formatCode="YYYY-MM-DD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color rgb="000000FF"/>
    </font>
    <font>
      <color rgb="00008000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1" pivotButton="0" quotePrefix="0" xfId="0"/>
    <xf numFmtId="0" fontId="0" fillId="0" borderId="1" pivotButton="0" quotePrefix="0" xfId="0"/>
    <xf numFmtId="2" fontId="4" fillId="0" borderId="1" pivotButton="0" quotePrefix="0" xfId="0"/>
    <xf numFmtId="9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 wrapText="1"/>
    </xf>
    <xf numFmtId="166" fontId="0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4" fontId="5" fillId="0" borderId="1" pivotButton="0" quotePrefix="0" xfId="0"/>
    <xf numFmtId="9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</cols>
  <sheetData>
    <row r="1">
      <c r="A1" s="1" t="inlineStr">
        <is>
          <t>LOSS RESERVE ADEQUACY - PARAMETERS</t>
        </is>
      </c>
    </row>
    <row r="3">
      <c r="A3" s="2" t="inlineStr">
        <is>
          <t>Development Factors by Claim Age</t>
        </is>
      </c>
      <c r="B3" s="3" t="n"/>
      <c r="C3" s="3" t="n"/>
    </row>
    <row r="4">
      <c r="A4" s="4" t="inlineStr">
        <is>
          <t>Parameter</t>
        </is>
      </c>
      <c r="B4" s="4" t="inlineStr">
        <is>
          <t>Value</t>
        </is>
      </c>
      <c r="C4" s="4" t="inlineStr">
        <is>
          <t>Description</t>
        </is>
      </c>
    </row>
    <row r="5">
      <c r="A5" s="5" t="inlineStr">
        <is>
          <t>Dev Factor - 0-6 months</t>
        </is>
      </c>
      <c r="B5" s="6" t="n">
        <v>2.5</v>
      </c>
      <c r="C5" s="5" t="inlineStr">
        <is>
          <t>Claims this young often double or more</t>
        </is>
      </c>
    </row>
    <row r="6">
      <c r="A6" s="5" t="inlineStr">
        <is>
          <t>Dev Factor - 6-12 months</t>
        </is>
      </c>
      <c r="B6" s="6" t="n">
        <v>1.8</v>
      </c>
      <c r="C6" s="5" t="inlineStr">
        <is>
          <t>Still significant uncertainty</t>
        </is>
      </c>
    </row>
    <row r="7">
      <c r="A7" s="5" t="inlineStr">
        <is>
          <t>Dev Factor - 12-24 months</t>
        </is>
      </c>
      <c r="B7" s="6" t="n">
        <v>1.35</v>
      </c>
      <c r="C7" s="5" t="inlineStr">
        <is>
          <t>Moderate development expected</t>
        </is>
      </c>
    </row>
    <row r="8">
      <c r="A8" s="5" t="inlineStr">
        <is>
          <t>Dev Factor - 24-36 months</t>
        </is>
      </c>
      <c r="B8" s="6" t="n">
        <v>1.15</v>
      </c>
      <c r="C8" s="5" t="inlineStr">
        <is>
          <t>Nearing maturity</t>
        </is>
      </c>
    </row>
    <row r="9">
      <c r="A9" s="5" t="inlineStr">
        <is>
          <t>Dev Factor - 36+ months</t>
        </is>
      </c>
      <c r="B9" s="6" t="n">
        <v>1.05</v>
      </c>
      <c r="C9" s="5" t="inlineStr">
        <is>
          <t>Mostly settled, minimal tail</t>
        </is>
      </c>
    </row>
    <row r="11">
      <c r="A11" s="2" t="inlineStr">
        <is>
          <t>Thresholds</t>
        </is>
      </c>
      <c r="B11" s="3" t="n"/>
      <c r="C11" s="3" t="n"/>
    </row>
    <row r="12">
      <c r="A12" s="4" t="inlineStr">
        <is>
          <t>Parameter</t>
        </is>
      </c>
      <c r="B12" s="4" t="inlineStr">
        <is>
          <t>Value</t>
        </is>
      </c>
      <c r="C12" s="4" t="inlineStr">
        <is>
          <t>Description</t>
        </is>
      </c>
    </row>
    <row r="13">
      <c r="A13" s="5" t="inlineStr">
        <is>
          <t>Reserve Adequacy Warning</t>
        </is>
      </c>
      <c r="B13" s="7" t="n">
        <v>0.8</v>
      </c>
      <c r="C13" s="5" t="inlineStr">
        <is>
          <t>Flag if current/ultimate &lt; 80%</t>
        </is>
      </c>
    </row>
    <row r="14">
      <c r="A14" s="5" t="inlineStr">
        <is>
          <t>Reserve Adequacy Critical</t>
        </is>
      </c>
      <c r="B14" s="7" t="n">
        <v>0.6</v>
      </c>
      <c r="C14" s="5" t="inlineStr">
        <is>
          <t>Flag if current/ultimate &lt; 60%</t>
        </is>
      </c>
    </row>
    <row r="15">
      <c r="A15" s="5" t="inlineStr">
        <is>
          <t>Target Loss Ratio</t>
        </is>
      </c>
      <c r="B15" s="7" t="n">
        <v>0.6</v>
      </c>
      <c r="C15" s="5" t="inlineStr">
        <is>
          <t>Pricing threshold</t>
        </is>
      </c>
    </row>
    <row r="16">
      <c r="A16" s="5" t="inlineStr">
        <is>
          <t>Troubled Account LR</t>
        </is>
      </c>
      <c r="B16" s="7" t="n">
        <v>0.75</v>
      </c>
      <c r="C16" s="5" t="inlineStr">
        <is>
          <t>Accounts above this need action</t>
        </is>
      </c>
    </row>
    <row r="18">
      <c r="A18" s="2" t="inlineStr">
        <is>
          <t>Assumptions</t>
        </is>
      </c>
      <c r="B18" s="3" t="n"/>
      <c r="C18" s="3" t="n"/>
    </row>
    <row r="19">
      <c r="A19" s="4" t="inlineStr">
        <is>
          <t>Parameter</t>
        </is>
      </c>
      <c r="B19" s="4" t="inlineStr">
        <is>
          <t>Value</t>
        </is>
      </c>
      <c r="C19" s="4" t="inlineStr">
        <is>
          <t>Description</t>
        </is>
      </c>
    </row>
    <row r="20">
      <c r="A20" s="5" t="inlineStr">
        <is>
          <t>Large Claim Threshold</t>
        </is>
      </c>
      <c r="B20" s="8" t="n">
        <v>25000</v>
      </c>
      <c r="C20" s="5" t="inlineStr">
        <is>
          <t>Drives extra scrutiny</t>
        </is>
      </c>
    </row>
    <row r="21">
      <c r="A21" s="5" t="inlineStr">
        <is>
          <t>Litigation Load Factor</t>
        </is>
      </c>
      <c r="B21" s="6" t="n">
        <v>1.4</v>
      </c>
      <c r="C21" s="5" t="inlineStr">
        <is>
          <t>Multiplier for claims in suit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5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  <col width="15" customWidth="1" min="12" max="12"/>
    <col width="14" customWidth="1" min="13" max="13"/>
  </cols>
  <sheetData>
    <row r="1">
      <c r="A1" s="9" t="inlineStr">
        <is>
          <t>Policy ID</t>
        </is>
      </c>
      <c r="B1" s="9" t="inlineStr">
        <is>
          <t>Insured Name</t>
        </is>
      </c>
      <c r="C1" s="9" t="inlineStr">
        <is>
          <t>Effective Date</t>
        </is>
      </c>
      <c r="D1" s="9" t="inlineStr">
        <is>
          <t>Earned Premium</t>
        </is>
      </c>
      <c r="E1" s="9" t="inlineStr">
        <is>
          <t>Claim ID</t>
        </is>
      </c>
      <c r="F1" s="9" t="inlineStr">
        <is>
          <t>Date of Loss</t>
        </is>
      </c>
      <c r="G1" s="9" t="inlineStr">
        <is>
          <t>Date Reported</t>
        </is>
      </c>
      <c r="H1" s="9" t="inlineStr">
        <is>
          <t>Claim Status</t>
        </is>
      </c>
      <c r="I1" s="9" t="inlineStr">
        <is>
          <t>In Litigation?</t>
        </is>
      </c>
      <c r="J1" s="9" t="inlineStr">
        <is>
          <t>Claim Type</t>
        </is>
      </c>
      <c r="K1" s="9" t="inlineStr">
        <is>
          <t>Paid to Date</t>
        </is>
      </c>
      <c r="L1" s="9" t="inlineStr">
        <is>
          <t>Current Reserve</t>
        </is>
      </c>
      <c r="M1" s="9" t="inlineStr">
        <is>
          <t>Total Incurred</t>
        </is>
      </c>
    </row>
    <row r="2">
      <c r="A2" s="5" t="inlineStr">
        <is>
          <t>POL-001</t>
        </is>
      </c>
      <c r="B2" s="5" t="inlineStr">
        <is>
          <t>Acme Manufacturing</t>
        </is>
      </c>
      <c r="C2" s="10" t="n">
        <v>45306</v>
      </c>
      <c r="D2" s="11" t="n">
        <v>85000</v>
      </c>
      <c r="E2" s="5" t="inlineStr">
        <is>
          <t>CLM-001A</t>
        </is>
      </c>
      <c r="F2" s="10" t="n">
        <v>45361</v>
      </c>
      <c r="G2" s="10" t="n">
        <v>45363</v>
      </c>
      <c r="H2" s="5" t="inlineStr">
        <is>
          <t>Open</t>
        </is>
      </c>
      <c r="I2" s="5" t="inlineStr">
        <is>
          <t>N</t>
        </is>
      </c>
      <c r="J2" s="5" t="inlineStr">
        <is>
          <t>BI</t>
        </is>
      </c>
      <c r="K2" s="11" t="n">
        <v>5000</v>
      </c>
      <c r="L2" s="11" t="n">
        <v>18000</v>
      </c>
      <c r="M2" s="11" t="n">
        <v>23000</v>
      </c>
    </row>
    <row r="3">
      <c r="A3" s="5" t="inlineStr">
        <is>
          <t>POL-001</t>
        </is>
      </c>
      <c r="B3" s="5" t="inlineStr">
        <is>
          <t>Acme Manufacturing</t>
        </is>
      </c>
      <c r="C3" s="10" t="n">
        <v>45306</v>
      </c>
      <c r="D3" s="11" t="n">
        <v>85000</v>
      </c>
      <c r="E3" s="5" t="inlineStr">
        <is>
          <t>CLM-001B</t>
        </is>
      </c>
      <c r="F3" s="10" t="n">
        <v>45557</v>
      </c>
      <c r="G3" s="10" t="n">
        <v>45560</v>
      </c>
      <c r="H3" s="5" t="inlineStr">
        <is>
          <t>Open</t>
        </is>
      </c>
      <c r="I3" s="5" t="inlineStr">
        <is>
          <t>Y</t>
        </is>
      </c>
      <c r="J3" s="5" t="inlineStr">
        <is>
          <t>BI</t>
        </is>
      </c>
      <c r="K3" s="11" t="n">
        <v>12000</v>
      </c>
      <c r="L3" s="11" t="n">
        <v>45000</v>
      </c>
      <c r="M3" s="11" t="n">
        <v>57000</v>
      </c>
    </row>
    <row r="4">
      <c r="A4" s="5" t="inlineStr">
        <is>
          <t>POL-001</t>
        </is>
      </c>
      <c r="B4" s="5" t="inlineStr">
        <is>
          <t>Acme Manufacturing</t>
        </is>
      </c>
      <c r="C4" s="10" t="n">
        <v>45306</v>
      </c>
      <c r="D4" s="11" t="n">
        <v>85000</v>
      </c>
      <c r="E4" s="5" t="inlineStr">
        <is>
          <t>CLM-001C</t>
        </is>
      </c>
      <c r="F4" s="10" t="n">
        <v>45078</v>
      </c>
      <c r="G4" s="10" t="n">
        <v>45082</v>
      </c>
      <c r="H4" s="5" t="inlineStr">
        <is>
          <t>Closed</t>
        </is>
      </c>
      <c r="I4" s="5" t="inlineStr">
        <is>
          <t>N</t>
        </is>
      </c>
      <c r="J4" s="5" t="inlineStr">
        <is>
          <t>PD</t>
        </is>
      </c>
      <c r="K4" s="11" t="n">
        <v>8500</v>
      </c>
      <c r="L4" s="11" t="n">
        <v>0</v>
      </c>
      <c r="M4" s="11" t="n">
        <v>8500</v>
      </c>
    </row>
    <row r="5">
      <c r="A5" s="5" t="inlineStr">
        <is>
          <t>POL-002</t>
        </is>
      </c>
      <c r="B5" s="5" t="inlineStr">
        <is>
          <t>Beta Corp Industries</t>
        </is>
      </c>
      <c r="C5" s="10" t="n">
        <v>45323</v>
      </c>
      <c r="D5" s="11" t="n">
        <v>120000</v>
      </c>
      <c r="E5" s="5" t="inlineStr">
        <is>
          <t>CLM-002A</t>
        </is>
      </c>
      <c r="F5" s="10" t="n">
        <v>45611</v>
      </c>
      <c r="G5" s="10" t="n">
        <v>45614</v>
      </c>
      <c r="H5" s="5" t="inlineStr">
        <is>
          <t>Open</t>
        </is>
      </c>
      <c r="I5" s="5" t="inlineStr">
        <is>
          <t>N</t>
        </is>
      </c>
      <c r="J5" s="5" t="inlineStr">
        <is>
          <t>BI</t>
        </is>
      </c>
      <c r="K5" s="11" t="n">
        <v>0</v>
      </c>
      <c r="L5" s="11" t="n">
        <v>30000</v>
      </c>
      <c r="M5" s="11" t="n">
        <v>30000</v>
      </c>
    </row>
    <row r="6">
      <c r="A6" s="5" t="inlineStr">
        <is>
          <t>POL-002</t>
        </is>
      </c>
      <c r="B6" s="5" t="inlineStr">
        <is>
          <t>Beta Corp Industries</t>
        </is>
      </c>
      <c r="C6" s="10" t="n">
        <v>45323</v>
      </c>
      <c r="D6" s="11" t="n">
        <v>120000</v>
      </c>
      <c r="E6" s="5" t="inlineStr">
        <is>
          <t>CLM-002B</t>
        </is>
      </c>
      <c r="F6" s="10" t="n">
        <v>45432</v>
      </c>
      <c r="G6" s="10" t="n">
        <v>45434</v>
      </c>
      <c r="H6" s="5" t="inlineStr">
        <is>
          <t>Open</t>
        </is>
      </c>
      <c r="I6" s="5" t="inlineStr">
        <is>
          <t>N</t>
        </is>
      </c>
      <c r="J6" s="5" t="inlineStr">
        <is>
          <t>PD</t>
        </is>
      </c>
      <c r="K6" s="11" t="n">
        <v>4500</v>
      </c>
      <c r="L6" s="11" t="n">
        <v>8000</v>
      </c>
      <c r="M6" s="11" t="n">
        <v>12500</v>
      </c>
    </row>
    <row r="7">
      <c r="A7" s="5" t="inlineStr">
        <is>
          <t>POL-003</t>
        </is>
      </c>
      <c r="B7" s="5" t="inlineStr">
        <is>
          <t>Gamma Services LLC</t>
        </is>
      </c>
      <c r="C7" s="10" t="n">
        <v>45352</v>
      </c>
      <c r="D7" s="11" t="n">
        <v>65000</v>
      </c>
      <c r="E7" s="5" t="inlineStr">
        <is>
          <t>CLM-003A</t>
        </is>
      </c>
      <c r="F7" s="10" t="n">
        <v>45514</v>
      </c>
      <c r="G7" s="10" t="n">
        <v>45519</v>
      </c>
      <c r="H7" s="5" t="inlineStr">
        <is>
          <t>Open</t>
        </is>
      </c>
      <c r="I7" s="5" t="inlineStr">
        <is>
          <t>Y</t>
        </is>
      </c>
      <c r="J7" s="5" t="inlineStr">
        <is>
          <t>BI</t>
        </is>
      </c>
      <c r="K7" s="11" t="n">
        <v>22000</v>
      </c>
      <c r="L7" s="11" t="n">
        <v>78000</v>
      </c>
      <c r="M7" s="11" t="n">
        <v>100000</v>
      </c>
    </row>
    <row r="8">
      <c r="A8" s="5" t="inlineStr">
        <is>
          <t>POL-004</t>
        </is>
      </c>
      <c r="B8" s="5" t="inlineStr">
        <is>
          <t>Delta Logistics</t>
        </is>
      </c>
      <c r="C8" s="10" t="n">
        <v>45292</v>
      </c>
      <c r="D8" s="11" t="n">
        <v>200000</v>
      </c>
      <c r="E8" s="5" t="inlineStr">
        <is>
          <t>CLM-004A</t>
        </is>
      </c>
      <c r="F8" s="10" t="n">
        <v>44727</v>
      </c>
      <c r="G8" s="10" t="n">
        <v>44730</v>
      </c>
      <c r="H8" s="5" t="inlineStr">
        <is>
          <t>Open</t>
        </is>
      </c>
      <c r="I8" s="5" t="inlineStr">
        <is>
          <t>N</t>
        </is>
      </c>
      <c r="J8" s="5" t="inlineStr">
        <is>
          <t>BI</t>
        </is>
      </c>
      <c r="K8" s="11" t="n">
        <v>45000</v>
      </c>
      <c r="L8" s="11" t="n">
        <v>15000</v>
      </c>
      <c r="M8" s="11" t="n">
        <v>60000</v>
      </c>
    </row>
    <row r="9">
      <c r="A9" s="5" t="inlineStr">
        <is>
          <t>POL-004</t>
        </is>
      </c>
      <c r="B9" s="5" t="inlineStr">
        <is>
          <t>Delta Logistics</t>
        </is>
      </c>
      <c r="C9" s="10" t="n">
        <v>45292</v>
      </c>
      <c r="D9" s="11" t="n">
        <v>200000</v>
      </c>
      <c r="E9" s="5" t="inlineStr">
        <is>
          <t>CLM-004B</t>
        </is>
      </c>
      <c r="F9" s="10" t="n">
        <v>45350</v>
      </c>
      <c r="G9" s="10" t="n">
        <v>45352</v>
      </c>
      <c r="H9" s="5" t="inlineStr">
        <is>
          <t>Closed</t>
        </is>
      </c>
      <c r="I9" s="5" t="inlineStr">
        <is>
          <t>N</t>
        </is>
      </c>
      <c r="J9" s="5" t="inlineStr">
        <is>
          <t>PD</t>
        </is>
      </c>
      <c r="K9" s="11" t="n">
        <v>12000</v>
      </c>
      <c r="L9" s="11" t="n">
        <v>0</v>
      </c>
      <c r="M9" s="11" t="n">
        <v>12000</v>
      </c>
    </row>
    <row r="10">
      <c r="A10" s="5" t="inlineStr">
        <is>
          <t>POL-005</t>
        </is>
      </c>
      <c r="B10" s="5" t="inlineStr">
        <is>
          <t>Epsilon Tech</t>
        </is>
      </c>
      <c r="C10" s="10" t="n">
        <v>45383</v>
      </c>
      <c r="D10" s="11" t="n">
        <v>95000</v>
      </c>
      <c r="E10" s="5" t="inlineStr">
        <is>
          <t>CLM-005A</t>
        </is>
      </c>
      <c r="F10" s="10" t="n">
        <v>45570</v>
      </c>
      <c r="G10" s="10" t="n">
        <v>45573</v>
      </c>
      <c r="H10" s="5" t="inlineStr">
        <is>
          <t>Open</t>
        </is>
      </c>
      <c r="I10" s="5" t="inlineStr">
        <is>
          <t>N</t>
        </is>
      </c>
      <c r="J10" s="5" t="inlineStr">
        <is>
          <t>BI</t>
        </is>
      </c>
      <c r="K10" s="11" t="n">
        <v>3000</v>
      </c>
      <c r="L10" s="11" t="n">
        <v>25000</v>
      </c>
      <c r="M10" s="11" t="n">
        <v>28000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  <col width="14" customWidth="1" min="6" max="6"/>
    <col width="13" customWidth="1" min="7" max="7"/>
    <col width="13" customWidth="1" min="8" max="8"/>
    <col width="14" customWidth="1" min="9" max="9"/>
    <col width="15" customWidth="1" min="10" max="10"/>
    <col width="17" customWidth="1" min="11" max="11"/>
    <col width="17" customWidth="1" min="12" max="12"/>
    <col width="15" customWidth="1" min="13" max="13"/>
  </cols>
  <sheetData>
    <row r="1">
      <c r="A1" s="9" t="inlineStr">
        <is>
          <t>Policy ID</t>
        </is>
      </c>
      <c r="B1" s="9" t="inlineStr">
        <is>
          <t>Claim ID</t>
        </is>
      </c>
      <c r="C1" s="9" t="inlineStr">
        <is>
          <t>Date of Loss</t>
        </is>
      </c>
      <c r="D1" s="9" t="inlineStr">
        <is>
          <t>Claim Age (months)</t>
        </is>
      </c>
      <c r="E1" s="9" t="inlineStr">
        <is>
          <t>Age Bracket</t>
        </is>
      </c>
      <c r="F1" s="9" t="inlineStr">
        <is>
          <t>Base Dev Factor</t>
        </is>
      </c>
      <c r="G1" s="9" t="inlineStr">
        <is>
          <t>In Litigation?</t>
        </is>
      </c>
      <c r="H1" s="9" t="inlineStr">
        <is>
          <t>Litigation Adj</t>
        </is>
      </c>
      <c r="I1" s="9" t="inlineStr">
        <is>
          <t>Final Dev Factor</t>
        </is>
      </c>
      <c r="J1" s="9" t="inlineStr">
        <is>
          <t>Current Incurred</t>
        </is>
      </c>
      <c r="K1" s="9" t="inlineStr">
        <is>
          <t>Projected Ultimate</t>
        </is>
      </c>
      <c r="L1" s="9" t="inlineStr">
        <is>
          <t>Development Needed</t>
        </is>
      </c>
      <c r="M1" s="9" t="inlineStr">
        <is>
          <t>Large Claim Flag</t>
        </is>
      </c>
    </row>
    <row r="2">
      <c r="A2" s="12">
        <f>'Raw Data'!A2</f>
        <v/>
      </c>
      <c r="B2" s="12">
        <f>'Raw Data'!E2</f>
        <v/>
      </c>
      <c r="C2" s="13">
        <f>'Raw Data'!F2</f>
        <v/>
      </c>
      <c r="D2" s="14">
        <f>DATEDIF(C2,TODAY(),"M")</f>
        <v/>
      </c>
      <c r="E2" s="5">
        <f>IF(D2&lt;6,"0-6 mo",IF(D2&lt;12,"6-12 mo",IF(D2&lt;24,"12-24 mo",IF(D2&lt;36,"24-36 mo","36+ mo"))))</f>
        <v/>
      </c>
      <c r="F2" s="15">
        <f>IF(D2&lt;6,Parameters!$B$5,IF(D2&lt;12,Parameters!$B$6,IF(D2&lt;24,Parameters!$B$7,IF(D2&lt;36,Parameters!$B$8,Parameters!$B$9))))</f>
        <v/>
      </c>
      <c r="G2" s="12">
        <f>'Raw Data'!I2</f>
        <v/>
      </c>
      <c r="H2" s="15">
        <f>IF(G2="Y",Parameters!$B$21,1)</f>
        <v/>
      </c>
      <c r="I2" s="15">
        <f>F2*H2</f>
        <v/>
      </c>
      <c r="J2" s="16">
        <f>'Raw Data'!M2</f>
        <v/>
      </c>
      <c r="K2" s="11">
        <f>J2*I2</f>
        <v/>
      </c>
      <c r="L2" s="11">
        <f>K2-J2</f>
        <v/>
      </c>
      <c r="M2" s="5">
        <f>IF(K2&gt;Parameters!$B$20,"Y","N")</f>
        <v/>
      </c>
    </row>
    <row r="3">
      <c r="A3" s="12">
        <f>'Raw Data'!A3</f>
        <v/>
      </c>
      <c r="B3" s="12">
        <f>'Raw Data'!E3</f>
        <v/>
      </c>
      <c r="C3" s="13">
        <f>'Raw Data'!F3</f>
        <v/>
      </c>
      <c r="D3" s="14">
        <f>DATEDIF(C3,TODAY(),"M")</f>
        <v/>
      </c>
      <c r="E3" s="5">
        <f>IF(D3&lt;6,"0-6 mo",IF(D3&lt;12,"6-12 mo",IF(D3&lt;24,"12-24 mo",IF(D3&lt;36,"24-36 mo","36+ mo"))))</f>
        <v/>
      </c>
      <c r="F3" s="15">
        <f>IF(D3&lt;6,Parameters!$B$5,IF(D3&lt;12,Parameters!$B$6,IF(D3&lt;24,Parameters!$B$7,IF(D3&lt;36,Parameters!$B$8,Parameters!$B$9))))</f>
        <v/>
      </c>
      <c r="G3" s="12">
        <f>'Raw Data'!I3</f>
        <v/>
      </c>
      <c r="H3" s="15">
        <f>IF(G3="Y",Parameters!$B$21,1)</f>
        <v/>
      </c>
      <c r="I3" s="15">
        <f>F3*H3</f>
        <v/>
      </c>
      <c r="J3" s="16">
        <f>'Raw Data'!M3</f>
        <v/>
      </c>
      <c r="K3" s="11">
        <f>J3*I3</f>
        <v/>
      </c>
      <c r="L3" s="11">
        <f>K3-J3</f>
        <v/>
      </c>
      <c r="M3" s="5">
        <f>IF(K3&gt;Parameters!$B$20,"Y","N")</f>
        <v/>
      </c>
    </row>
    <row r="4">
      <c r="A4" s="12">
        <f>'Raw Data'!A4</f>
        <v/>
      </c>
      <c r="B4" s="12">
        <f>'Raw Data'!E4</f>
        <v/>
      </c>
      <c r="C4" s="13">
        <f>'Raw Data'!F4</f>
        <v/>
      </c>
      <c r="D4" s="14">
        <f>DATEDIF(C4,TODAY(),"M")</f>
        <v/>
      </c>
      <c r="E4" s="5">
        <f>IF(D4&lt;6,"0-6 mo",IF(D4&lt;12,"6-12 mo",IF(D4&lt;24,"12-24 mo",IF(D4&lt;36,"24-36 mo","36+ mo"))))</f>
        <v/>
      </c>
      <c r="F4" s="15">
        <f>IF(D4&lt;6,Parameters!$B$5,IF(D4&lt;12,Parameters!$B$6,IF(D4&lt;24,Parameters!$B$7,IF(D4&lt;36,Parameters!$B$8,Parameters!$B$9))))</f>
        <v/>
      </c>
      <c r="G4" s="12">
        <f>'Raw Data'!I4</f>
        <v/>
      </c>
      <c r="H4" s="15">
        <f>IF(G4="Y",Parameters!$B$21,1)</f>
        <v/>
      </c>
      <c r="I4" s="15">
        <f>F4*H4</f>
        <v/>
      </c>
      <c r="J4" s="16">
        <f>'Raw Data'!M4</f>
        <v/>
      </c>
      <c r="K4" s="11">
        <f>J4*I4</f>
        <v/>
      </c>
      <c r="L4" s="11">
        <f>K4-J4</f>
        <v/>
      </c>
      <c r="M4" s="5">
        <f>IF(K4&gt;Parameters!$B$20,"Y","N")</f>
        <v/>
      </c>
    </row>
    <row r="5">
      <c r="A5" s="12">
        <f>'Raw Data'!A5</f>
        <v/>
      </c>
      <c r="B5" s="12">
        <f>'Raw Data'!E5</f>
        <v/>
      </c>
      <c r="C5" s="13">
        <f>'Raw Data'!F5</f>
        <v/>
      </c>
      <c r="D5" s="14">
        <f>DATEDIF(C5,TODAY(),"M")</f>
        <v/>
      </c>
      <c r="E5" s="5">
        <f>IF(D5&lt;6,"0-6 mo",IF(D5&lt;12,"6-12 mo",IF(D5&lt;24,"12-24 mo",IF(D5&lt;36,"24-36 mo","36+ mo"))))</f>
        <v/>
      </c>
      <c r="F5" s="15">
        <f>IF(D5&lt;6,Parameters!$B$5,IF(D5&lt;12,Parameters!$B$6,IF(D5&lt;24,Parameters!$B$7,IF(D5&lt;36,Parameters!$B$8,Parameters!$B$9))))</f>
        <v/>
      </c>
      <c r="G5" s="12">
        <f>'Raw Data'!I5</f>
        <v/>
      </c>
      <c r="H5" s="15">
        <f>IF(G5="Y",Parameters!$B$21,1)</f>
        <v/>
      </c>
      <c r="I5" s="15">
        <f>F5*H5</f>
        <v/>
      </c>
      <c r="J5" s="16">
        <f>'Raw Data'!M5</f>
        <v/>
      </c>
      <c r="K5" s="11">
        <f>J5*I5</f>
        <v/>
      </c>
      <c r="L5" s="11">
        <f>K5-J5</f>
        <v/>
      </c>
      <c r="M5" s="5">
        <f>IF(K5&gt;Parameters!$B$20,"Y","N")</f>
        <v/>
      </c>
    </row>
    <row r="6">
      <c r="A6" s="12">
        <f>'Raw Data'!A6</f>
        <v/>
      </c>
      <c r="B6" s="12">
        <f>'Raw Data'!E6</f>
        <v/>
      </c>
      <c r="C6" s="13">
        <f>'Raw Data'!F6</f>
        <v/>
      </c>
      <c r="D6" s="14">
        <f>DATEDIF(C6,TODAY(),"M")</f>
        <v/>
      </c>
      <c r="E6" s="5">
        <f>IF(D6&lt;6,"0-6 mo",IF(D6&lt;12,"6-12 mo",IF(D6&lt;24,"12-24 mo",IF(D6&lt;36,"24-36 mo","36+ mo"))))</f>
        <v/>
      </c>
      <c r="F6" s="15">
        <f>IF(D6&lt;6,Parameters!$B$5,IF(D6&lt;12,Parameters!$B$6,IF(D6&lt;24,Parameters!$B$7,IF(D6&lt;36,Parameters!$B$8,Parameters!$B$9))))</f>
        <v/>
      </c>
      <c r="G6" s="12">
        <f>'Raw Data'!I6</f>
        <v/>
      </c>
      <c r="H6" s="15">
        <f>IF(G6="Y",Parameters!$B$21,1)</f>
        <v/>
      </c>
      <c r="I6" s="15">
        <f>F6*H6</f>
        <v/>
      </c>
      <c r="J6" s="16">
        <f>'Raw Data'!M6</f>
        <v/>
      </c>
      <c r="K6" s="11">
        <f>J6*I6</f>
        <v/>
      </c>
      <c r="L6" s="11">
        <f>K6-J6</f>
        <v/>
      </c>
      <c r="M6" s="5">
        <f>IF(K6&gt;Parameters!$B$20,"Y","N")</f>
        <v/>
      </c>
    </row>
    <row r="7">
      <c r="A7" s="12">
        <f>'Raw Data'!A7</f>
        <v/>
      </c>
      <c r="B7" s="12">
        <f>'Raw Data'!E7</f>
        <v/>
      </c>
      <c r="C7" s="13">
        <f>'Raw Data'!F7</f>
        <v/>
      </c>
      <c r="D7" s="14">
        <f>DATEDIF(C7,TODAY(),"M")</f>
        <v/>
      </c>
      <c r="E7" s="5">
        <f>IF(D7&lt;6,"0-6 mo",IF(D7&lt;12,"6-12 mo",IF(D7&lt;24,"12-24 mo",IF(D7&lt;36,"24-36 mo","36+ mo"))))</f>
        <v/>
      </c>
      <c r="F7" s="15">
        <f>IF(D7&lt;6,Parameters!$B$5,IF(D7&lt;12,Parameters!$B$6,IF(D7&lt;24,Parameters!$B$7,IF(D7&lt;36,Parameters!$B$8,Parameters!$B$9))))</f>
        <v/>
      </c>
      <c r="G7" s="12">
        <f>'Raw Data'!I7</f>
        <v/>
      </c>
      <c r="H7" s="15">
        <f>IF(G7="Y",Parameters!$B$21,1)</f>
        <v/>
      </c>
      <c r="I7" s="15">
        <f>F7*H7</f>
        <v/>
      </c>
      <c r="J7" s="16">
        <f>'Raw Data'!M7</f>
        <v/>
      </c>
      <c r="K7" s="11">
        <f>J7*I7</f>
        <v/>
      </c>
      <c r="L7" s="11">
        <f>K7-J7</f>
        <v/>
      </c>
      <c r="M7" s="5">
        <f>IF(K7&gt;Parameters!$B$20,"Y","N")</f>
        <v/>
      </c>
    </row>
    <row r="8">
      <c r="A8" s="12">
        <f>'Raw Data'!A8</f>
        <v/>
      </c>
      <c r="B8" s="12">
        <f>'Raw Data'!E8</f>
        <v/>
      </c>
      <c r="C8" s="13">
        <f>'Raw Data'!F8</f>
        <v/>
      </c>
      <c r="D8" s="14">
        <f>DATEDIF(C8,TODAY(),"M")</f>
        <v/>
      </c>
      <c r="E8" s="5">
        <f>IF(D8&lt;6,"0-6 mo",IF(D8&lt;12,"6-12 mo",IF(D8&lt;24,"12-24 mo",IF(D8&lt;36,"24-36 mo","36+ mo"))))</f>
        <v/>
      </c>
      <c r="F8" s="15">
        <f>IF(D8&lt;6,Parameters!$B$5,IF(D8&lt;12,Parameters!$B$6,IF(D8&lt;24,Parameters!$B$7,IF(D8&lt;36,Parameters!$B$8,Parameters!$B$9))))</f>
        <v/>
      </c>
      <c r="G8" s="12">
        <f>'Raw Data'!I8</f>
        <v/>
      </c>
      <c r="H8" s="15">
        <f>IF(G8="Y",Parameters!$B$21,1)</f>
        <v/>
      </c>
      <c r="I8" s="15">
        <f>F8*H8</f>
        <v/>
      </c>
      <c r="J8" s="16">
        <f>'Raw Data'!M8</f>
        <v/>
      </c>
      <c r="K8" s="11">
        <f>J8*I8</f>
        <v/>
      </c>
      <c r="L8" s="11">
        <f>K8-J8</f>
        <v/>
      </c>
      <c r="M8" s="5">
        <f>IF(K8&gt;Parameters!$B$20,"Y","N")</f>
        <v/>
      </c>
    </row>
    <row r="9">
      <c r="A9" s="12">
        <f>'Raw Data'!A9</f>
        <v/>
      </c>
      <c r="B9" s="12">
        <f>'Raw Data'!E9</f>
        <v/>
      </c>
      <c r="C9" s="13">
        <f>'Raw Data'!F9</f>
        <v/>
      </c>
      <c r="D9" s="14">
        <f>DATEDIF(C9,TODAY(),"M")</f>
        <v/>
      </c>
      <c r="E9" s="5">
        <f>IF(D9&lt;6,"0-6 mo",IF(D9&lt;12,"6-12 mo",IF(D9&lt;24,"12-24 mo",IF(D9&lt;36,"24-36 mo","36+ mo"))))</f>
        <v/>
      </c>
      <c r="F9" s="15">
        <f>IF(D9&lt;6,Parameters!$B$5,IF(D9&lt;12,Parameters!$B$6,IF(D9&lt;24,Parameters!$B$7,IF(D9&lt;36,Parameters!$B$8,Parameters!$B$9))))</f>
        <v/>
      </c>
      <c r="G9" s="12">
        <f>'Raw Data'!I9</f>
        <v/>
      </c>
      <c r="H9" s="15">
        <f>IF(G9="Y",Parameters!$B$21,1)</f>
        <v/>
      </c>
      <c r="I9" s="15">
        <f>F9*H9</f>
        <v/>
      </c>
      <c r="J9" s="16">
        <f>'Raw Data'!M9</f>
        <v/>
      </c>
      <c r="K9" s="11">
        <f>J9*I9</f>
        <v/>
      </c>
      <c r="L9" s="11">
        <f>K9-J9</f>
        <v/>
      </c>
      <c r="M9" s="5">
        <f>IF(K9&gt;Parameters!$B$20,"Y","N")</f>
        <v/>
      </c>
    </row>
    <row r="10">
      <c r="A10" s="12">
        <f>'Raw Data'!A10</f>
        <v/>
      </c>
      <c r="B10" s="12">
        <f>'Raw Data'!E10</f>
        <v/>
      </c>
      <c r="C10" s="13">
        <f>'Raw Data'!F10</f>
        <v/>
      </c>
      <c r="D10" s="14">
        <f>DATEDIF(C10,TODAY(),"M")</f>
        <v/>
      </c>
      <c r="E10" s="5">
        <f>IF(D10&lt;6,"0-6 mo",IF(D10&lt;12,"6-12 mo",IF(D10&lt;24,"12-24 mo",IF(D10&lt;36,"24-36 mo","36+ mo"))))</f>
        <v/>
      </c>
      <c r="F10" s="15">
        <f>IF(D10&lt;6,Parameters!$B$5,IF(D10&lt;12,Parameters!$B$6,IF(D10&lt;24,Parameters!$B$7,IF(D10&lt;36,Parameters!$B$8,Parameters!$B$9))))</f>
        <v/>
      </c>
      <c r="G10" s="12">
        <f>'Raw Data'!I10</f>
        <v/>
      </c>
      <c r="H10" s="15">
        <f>IF(G10="Y",Parameters!$B$21,1)</f>
        <v/>
      </c>
      <c r="I10" s="15">
        <f>F10*H10</f>
        <v/>
      </c>
      <c r="J10" s="16">
        <f>'Raw Data'!M10</f>
        <v/>
      </c>
      <c r="K10" s="11">
        <f>J10*I10</f>
        <v/>
      </c>
      <c r="L10" s="11">
        <f>K10-J10</f>
        <v/>
      </c>
      <c r="M10" s="5">
        <f>IF(K10&gt;Parameters!$B$20,"Y","N")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6" customWidth="1" min="4" max="4"/>
    <col width="17" customWidth="1" min="5" max="5"/>
    <col width="11" customWidth="1" min="6" max="6"/>
    <col width="13" customWidth="1" min="7" max="7"/>
    <col width="17" customWidth="1" min="8" max="8"/>
    <col width="13" customWidth="1" min="9" max="9"/>
    <col width="12" customWidth="1" min="10" max="10"/>
    <col width="13" customWidth="1" min="11" max="11"/>
    <col width="15" customWidth="1" min="12" max="12"/>
    <col width="10" customWidth="1" min="13" max="13"/>
  </cols>
  <sheetData>
    <row r="1">
      <c r="A1" s="9" t="inlineStr">
        <is>
          <t>Policy ID</t>
        </is>
      </c>
      <c r="B1" s="9" t="inlineStr">
        <is>
          <t>Insured</t>
        </is>
      </c>
      <c r="C1" s="9" t="inlineStr">
        <is>
          <t>Earned Premium</t>
        </is>
      </c>
      <c r="D1" s="9" t="inlineStr">
        <is>
          <t>Reported Incurred</t>
        </is>
      </c>
      <c r="E1" s="9" t="inlineStr">
        <is>
          <t>Projected Ultimate</t>
        </is>
      </c>
      <c r="F1" s="9" t="inlineStr">
        <is>
          <t>Current LR</t>
        </is>
      </c>
      <c r="G1" s="9" t="inlineStr">
        <is>
          <t>Developed LR</t>
        </is>
      </c>
      <c r="H1" s="9" t="inlineStr">
        <is>
          <t>Reserve Adequacy %</t>
        </is>
      </c>
      <c r="I1" s="9" t="inlineStr">
        <is>
          <t>Adequacy Flag</t>
        </is>
      </c>
      <c r="J1" s="9" t="inlineStr">
        <is>
          <t>Open Claims</t>
        </is>
      </c>
      <c r="K1" s="9" t="inlineStr">
        <is>
          <t>Large Claims</t>
        </is>
      </c>
      <c r="L1" s="9" t="inlineStr">
        <is>
          <t>Renewal Action</t>
        </is>
      </c>
      <c r="M1" s="9" t="inlineStr">
        <is>
          <t>Priority</t>
        </is>
      </c>
    </row>
    <row r="2">
      <c r="A2" s="5" t="inlineStr">
        <is>
          <t>POL-001</t>
        </is>
      </c>
      <c r="B2" s="12">
        <f>VLOOKUP(A2,'Raw Data'!A:B,2,FALSE)</f>
        <v/>
      </c>
      <c r="C2" s="11">
        <f>SUMIF('Raw Data'!A:A,A2,'Raw Data'!D:D)/COUNTIF('Raw Data'!A:A,A2)</f>
        <v/>
      </c>
      <c r="D2" s="11">
        <f>SUMIF('Raw Data'!A:A,A2,'Raw Data'!M:M)</f>
        <v/>
      </c>
      <c r="E2" s="16">
        <f>SUMIF(Processing!A:A,A2,Processing!K:K)</f>
        <v/>
      </c>
      <c r="F2" s="17">
        <f>IF(C2=0,"-",D2/C2)</f>
        <v/>
      </c>
      <c r="G2" s="17">
        <f>IF(C2=0,"-",E2/C2)</f>
        <v/>
      </c>
      <c r="H2" s="17">
        <f>IF(E2=0,"-",D2/E2)</f>
        <v/>
      </c>
      <c r="I2" s="5">
        <f>IF(H2="-","N/A",IF(H2&lt;Parameters!$B$14,"CRITICAL",IF(H2&lt;Parameters!$B$13,"WARNING","OK")))</f>
        <v/>
      </c>
      <c r="J2" s="14">
        <f>COUNTIFS('Raw Data'!A:A,A2,'Raw Data'!H:H,"Open")</f>
        <v/>
      </c>
      <c r="K2" s="14">
        <f>COUNTIFS(Processing!A:A,A2,Processing!M:M,"Y")</f>
        <v/>
      </c>
      <c r="L2" s="5">
        <f>IF(G2&gt;1,"NON-RENEW",IF(G2&gt;Parameters!$B$16,"REPRICE",IF(G2&gt;Parameters!$B$15,"MONITOR","RENEW AS-IS")))</f>
        <v/>
      </c>
      <c r="M2" s="14">
        <f>IF(L2="NON-RENEW",1,IF(L2="REPRICE",2,IF(L2="MONITOR",3,4)))</f>
        <v/>
      </c>
    </row>
    <row r="3">
      <c r="A3" s="5" t="inlineStr">
        <is>
          <t>POL-002</t>
        </is>
      </c>
      <c r="B3" s="12">
        <f>VLOOKUP(A3,'Raw Data'!A:B,2,FALSE)</f>
        <v/>
      </c>
      <c r="C3" s="11">
        <f>SUMIF('Raw Data'!A:A,A3,'Raw Data'!D:D)/COUNTIF('Raw Data'!A:A,A3)</f>
        <v/>
      </c>
      <c r="D3" s="11">
        <f>SUMIF('Raw Data'!A:A,A3,'Raw Data'!M:M)</f>
        <v/>
      </c>
      <c r="E3" s="16">
        <f>SUMIF(Processing!A:A,A3,Processing!K:K)</f>
        <v/>
      </c>
      <c r="F3" s="17">
        <f>IF(C3=0,"-",D3/C3)</f>
        <v/>
      </c>
      <c r="G3" s="17">
        <f>IF(C3=0,"-",E3/C3)</f>
        <v/>
      </c>
      <c r="H3" s="17">
        <f>IF(E3=0,"-",D3/E3)</f>
        <v/>
      </c>
      <c r="I3" s="5">
        <f>IF(H3="-","N/A",IF(H3&lt;Parameters!$B$14,"CRITICAL",IF(H3&lt;Parameters!$B$13,"WARNING","OK")))</f>
        <v/>
      </c>
      <c r="J3" s="14">
        <f>COUNTIFS('Raw Data'!A:A,A3,'Raw Data'!H:H,"Open")</f>
        <v/>
      </c>
      <c r="K3" s="14">
        <f>COUNTIFS(Processing!A:A,A3,Processing!M:M,"Y")</f>
        <v/>
      </c>
      <c r="L3" s="5">
        <f>IF(G3&gt;1,"NON-RENEW",IF(G3&gt;Parameters!$B$16,"REPRICE",IF(G3&gt;Parameters!$B$15,"MONITOR","RENEW AS-IS")))</f>
        <v/>
      </c>
      <c r="M3" s="14">
        <f>IF(L3="NON-RENEW",1,IF(L3="REPRICE",2,IF(L3="MONITOR",3,4)))</f>
        <v/>
      </c>
    </row>
    <row r="4">
      <c r="A4" s="5" t="inlineStr">
        <is>
          <t>POL-003</t>
        </is>
      </c>
      <c r="B4" s="12">
        <f>VLOOKUP(A4,'Raw Data'!A:B,2,FALSE)</f>
        <v/>
      </c>
      <c r="C4" s="11">
        <f>SUMIF('Raw Data'!A:A,A4,'Raw Data'!D:D)/COUNTIF('Raw Data'!A:A,A4)</f>
        <v/>
      </c>
      <c r="D4" s="11">
        <f>SUMIF('Raw Data'!A:A,A4,'Raw Data'!M:M)</f>
        <v/>
      </c>
      <c r="E4" s="16">
        <f>SUMIF(Processing!A:A,A4,Processing!K:K)</f>
        <v/>
      </c>
      <c r="F4" s="17">
        <f>IF(C4=0,"-",D4/C4)</f>
        <v/>
      </c>
      <c r="G4" s="17">
        <f>IF(C4=0,"-",E4/C4)</f>
        <v/>
      </c>
      <c r="H4" s="17">
        <f>IF(E4=0,"-",D4/E4)</f>
        <v/>
      </c>
      <c r="I4" s="5">
        <f>IF(H4="-","N/A",IF(H4&lt;Parameters!$B$14,"CRITICAL",IF(H4&lt;Parameters!$B$13,"WARNING","OK")))</f>
        <v/>
      </c>
      <c r="J4" s="14">
        <f>COUNTIFS('Raw Data'!A:A,A4,'Raw Data'!H:H,"Open")</f>
        <v/>
      </c>
      <c r="K4" s="14">
        <f>COUNTIFS(Processing!A:A,A4,Processing!M:M,"Y")</f>
        <v/>
      </c>
      <c r="L4" s="5">
        <f>IF(G4&gt;1,"NON-RENEW",IF(G4&gt;Parameters!$B$16,"REPRICE",IF(G4&gt;Parameters!$B$15,"MONITOR","RENEW AS-IS")))</f>
        <v/>
      </c>
      <c r="M4" s="14">
        <f>IF(L4="NON-RENEW",1,IF(L4="REPRICE",2,IF(L4="MONITOR",3,4)))</f>
        <v/>
      </c>
    </row>
    <row r="5">
      <c r="A5" s="5" t="inlineStr">
        <is>
          <t>POL-004</t>
        </is>
      </c>
      <c r="B5" s="12">
        <f>VLOOKUP(A5,'Raw Data'!A:B,2,FALSE)</f>
        <v/>
      </c>
      <c r="C5" s="11">
        <f>SUMIF('Raw Data'!A:A,A5,'Raw Data'!D:D)/COUNTIF('Raw Data'!A:A,A5)</f>
        <v/>
      </c>
      <c r="D5" s="11">
        <f>SUMIF('Raw Data'!A:A,A5,'Raw Data'!M:M)</f>
        <v/>
      </c>
      <c r="E5" s="16">
        <f>SUMIF(Processing!A:A,A5,Processing!K:K)</f>
        <v/>
      </c>
      <c r="F5" s="17">
        <f>IF(C5=0,"-",D5/C5)</f>
        <v/>
      </c>
      <c r="G5" s="17">
        <f>IF(C5=0,"-",E5/C5)</f>
        <v/>
      </c>
      <c r="H5" s="17">
        <f>IF(E5=0,"-",D5/E5)</f>
        <v/>
      </c>
      <c r="I5" s="5">
        <f>IF(H5="-","N/A",IF(H5&lt;Parameters!$B$14,"CRITICAL",IF(H5&lt;Parameters!$B$13,"WARNING","OK")))</f>
        <v/>
      </c>
      <c r="J5" s="14">
        <f>COUNTIFS('Raw Data'!A:A,A5,'Raw Data'!H:H,"Open")</f>
        <v/>
      </c>
      <c r="K5" s="14">
        <f>COUNTIFS(Processing!A:A,A5,Processing!M:M,"Y")</f>
        <v/>
      </c>
      <c r="L5" s="5">
        <f>IF(G5&gt;1,"NON-RENEW",IF(G5&gt;Parameters!$B$16,"REPRICE",IF(G5&gt;Parameters!$B$15,"MONITOR","RENEW AS-IS")))</f>
        <v/>
      </c>
      <c r="M5" s="14">
        <f>IF(L5="NON-RENEW",1,IF(L5="REPRICE",2,IF(L5="MONITOR",3,4)))</f>
        <v/>
      </c>
    </row>
    <row r="6">
      <c r="A6" s="5" t="inlineStr">
        <is>
          <t>POL-005</t>
        </is>
      </c>
      <c r="B6" s="12">
        <f>VLOOKUP(A6,'Raw Data'!A:B,2,FALSE)</f>
        <v/>
      </c>
      <c r="C6" s="11">
        <f>SUMIF('Raw Data'!A:A,A6,'Raw Data'!D:D)/COUNTIF('Raw Data'!A:A,A6)</f>
        <v/>
      </c>
      <c r="D6" s="11">
        <f>SUMIF('Raw Data'!A:A,A6,'Raw Data'!M:M)</f>
        <v/>
      </c>
      <c r="E6" s="16">
        <f>SUMIF(Processing!A:A,A6,Processing!K:K)</f>
        <v/>
      </c>
      <c r="F6" s="17">
        <f>IF(C6=0,"-",D6/C6)</f>
        <v/>
      </c>
      <c r="G6" s="17">
        <f>IF(C6=0,"-",E6/C6)</f>
        <v/>
      </c>
      <c r="H6" s="17">
        <f>IF(E6=0,"-",D6/E6)</f>
        <v/>
      </c>
      <c r="I6" s="5">
        <f>IF(H6="-","N/A",IF(H6&lt;Parameters!$B$14,"CRITICAL",IF(H6&lt;Parameters!$B$13,"WARNING","OK")))</f>
        <v/>
      </c>
      <c r="J6" s="14">
        <f>COUNTIFS('Raw Data'!A:A,A6,'Raw Data'!H:H,"Open")</f>
        <v/>
      </c>
      <c r="K6" s="14">
        <f>COUNTIFS(Processing!A:A,A6,Processing!M:M,"Y")</f>
        <v/>
      </c>
      <c r="L6" s="5">
        <f>IF(G6&gt;1,"NON-RENEW",IF(G6&gt;Parameters!$B$16,"REPRICE",IF(G6&gt;Parameters!$B$15,"MONITOR","RENEW AS-IS")))</f>
        <v/>
      </c>
      <c r="M6" s="14">
        <f>IF(L6="NON-RENEW",1,IF(L6="REPRICE",2,IF(L6="MONITOR",3,4)))</f>
        <v/>
      </c>
    </row>
    <row r="8">
      <c r="A8" s="18" t="inlineStr">
        <is>
          <t>Note: Apply conditional formatting to Adequacy Flag column (I) and Renewal Action column (L)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2026-01-14T02:12:29Z</dcterms:created>
  <dcterms:modified xsi:type="dcterms:W3CDTF">2026-01-14T02:12:29Z</dcterms:modified>
</cp:coreProperties>
</file>