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Raw Data" sheetId="2" state="visible" r:id="rId2"/>
    <sheet name="Processing" sheetId="3" state="visible" r:id="rId3"/>
    <sheet name="Outp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4" fillId="0" borderId="1" pivotButton="0" quotePrefix="0" xfId="0"/>
    <xf numFmtId="0" fontId="3" fillId="3" borderId="1" applyAlignment="1" pivotButton="0" quotePrefix="0" xfId="0">
      <alignment horizontal="center" wrapText="1"/>
    </xf>
    <xf numFmtId="164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BD Prospecting - Parameters</t>
        </is>
      </c>
      <c r="B1" s="1" t="inlineStr"/>
      <c r="C1" s="1" t="inlineStr"/>
    </row>
    <row r="2">
      <c r="A2" s="2" t="inlineStr"/>
      <c r="B2" s="2" t="inlineStr"/>
      <c r="C2" s="2" t="inlineStr"/>
    </row>
    <row r="3">
      <c r="A3" s="3" t="inlineStr">
        <is>
          <t>SCORING WEIGHTS</t>
        </is>
      </c>
      <c r="B3" s="2" t="inlineStr"/>
      <c r="C3" s="2" t="inlineStr"/>
    </row>
    <row r="4">
      <c r="A4" s="4" t="inlineStr">
        <is>
          <t>Parameter</t>
        </is>
      </c>
      <c r="B4" s="2" t="inlineStr">
        <is>
          <t>Value</t>
        </is>
      </c>
      <c r="C4" s="2" t="inlineStr">
        <is>
          <t>Description</t>
        </is>
      </c>
    </row>
    <row r="5">
      <c r="A5" s="2" t="inlineStr">
        <is>
          <t>Fit Weight</t>
        </is>
      </c>
      <c r="B5" s="5" t="n">
        <v>0.4</v>
      </c>
      <c r="C5" s="2" t="inlineStr">
        <is>
          <t>Weight for company fit score</t>
        </is>
      </c>
    </row>
    <row r="6">
      <c r="A6" s="2" t="inlineStr">
        <is>
          <t>Intent Weight</t>
        </is>
      </c>
      <c r="B6" s="5" t="n">
        <v>0.35</v>
      </c>
      <c r="C6" s="2" t="inlineStr">
        <is>
          <t>Weight for buying intent signals</t>
        </is>
      </c>
    </row>
    <row r="7">
      <c r="A7" s="2" t="inlineStr">
        <is>
          <t>Engagement Weight</t>
        </is>
      </c>
      <c r="B7" s="5" t="n">
        <v>0.25</v>
      </c>
      <c r="C7" s="2" t="inlineStr">
        <is>
          <t>Weight for past engagement</t>
        </is>
      </c>
    </row>
    <row r="8">
      <c r="A8" s="2" t="inlineStr"/>
      <c r="B8" s="2" t="inlineStr"/>
      <c r="C8" s="2" t="inlineStr"/>
    </row>
    <row r="9">
      <c r="A9" s="3" t="inlineStr">
        <is>
          <t>FIT CRITERIA</t>
        </is>
      </c>
      <c r="B9" s="2" t="inlineStr"/>
      <c r="C9" s="2" t="inlineStr"/>
    </row>
    <row r="10">
      <c r="A10" s="4" t="inlineStr">
        <is>
          <t>Parameter</t>
        </is>
      </c>
      <c r="B10" s="2" t="inlineStr">
        <is>
          <t>Value</t>
        </is>
      </c>
      <c r="C10" s="2" t="inlineStr">
        <is>
          <t>Description</t>
        </is>
      </c>
    </row>
    <row r="11">
      <c r="A11" s="2" t="inlineStr">
        <is>
          <t>Target Industry 1</t>
        </is>
      </c>
      <c r="B11" s="6" t="inlineStr">
        <is>
          <t>SaaS</t>
        </is>
      </c>
      <c r="C11" s="2" t="inlineStr">
        <is>
          <t>Primary target</t>
        </is>
      </c>
    </row>
    <row r="12">
      <c r="A12" s="2" t="inlineStr">
        <is>
          <t>Target Industry 2</t>
        </is>
      </c>
      <c r="B12" s="6" t="inlineStr">
        <is>
          <t>FinTech</t>
        </is>
      </c>
      <c r="C12" s="2" t="inlineStr">
        <is>
          <t>Primary target</t>
        </is>
      </c>
    </row>
    <row r="13">
      <c r="A13" s="2" t="inlineStr">
        <is>
          <t>Target Industry 3</t>
        </is>
      </c>
      <c r="B13" s="6" t="inlineStr">
        <is>
          <t>HealthTech</t>
        </is>
      </c>
      <c r="C13" s="2" t="inlineStr">
        <is>
          <t>Primary target</t>
        </is>
      </c>
    </row>
    <row r="14">
      <c r="A14" s="2" t="inlineStr">
        <is>
          <t>Adjacent Industry 1</t>
        </is>
      </c>
      <c r="B14" s="6" t="inlineStr">
        <is>
          <t>Manufacturing</t>
        </is>
      </c>
      <c r="C14" s="2" t="inlineStr">
        <is>
          <t>Partial credit</t>
        </is>
      </c>
    </row>
    <row r="15">
      <c r="A15" s="2" t="inlineStr">
        <is>
          <t>Adjacent Industry 2</t>
        </is>
      </c>
      <c r="B15" s="6" t="inlineStr">
        <is>
          <t>Retail</t>
        </is>
      </c>
      <c r="C15" s="2" t="inlineStr">
        <is>
          <t>Partial credit</t>
        </is>
      </c>
    </row>
    <row r="16">
      <c r="A16" s="2" t="inlineStr">
        <is>
          <t>Min Employees</t>
        </is>
      </c>
      <c r="B16" s="5" t="n">
        <v>50</v>
      </c>
      <c r="C16" s="2" t="inlineStr">
        <is>
          <t>Below = 0 fit score</t>
        </is>
      </c>
    </row>
    <row r="17">
      <c r="A17" s="2" t="inlineStr">
        <is>
          <t>Max Employees</t>
        </is>
      </c>
      <c r="B17" s="5" t="n">
        <v>1000</v>
      </c>
      <c r="C17" s="2" t="inlineStr">
        <is>
          <t>Above = reduced fit</t>
        </is>
      </c>
    </row>
    <row r="18">
      <c r="A18" s="2" t="inlineStr">
        <is>
          <t>Ideal Emp Min</t>
        </is>
      </c>
      <c r="B18" s="5" t="n">
        <v>200</v>
      </c>
      <c r="C18" s="2" t="inlineStr">
        <is>
          <t>Full points range start</t>
        </is>
      </c>
    </row>
    <row r="19">
      <c r="A19" s="2" t="inlineStr">
        <is>
          <t>Ideal Emp Max</t>
        </is>
      </c>
      <c r="B19" s="5" t="n">
        <v>500</v>
      </c>
      <c r="C19" s="2" t="inlineStr">
        <is>
          <t>Full points range end</t>
        </is>
      </c>
    </row>
    <row r="20">
      <c r="A20" s="2" t="inlineStr">
        <is>
          <t>Target Geo 1</t>
        </is>
      </c>
      <c r="B20" s="6" t="inlineStr">
        <is>
          <t>US</t>
        </is>
      </c>
      <c r="C20" s="2" t="inlineStr">
        <is>
          <t>Primary geography</t>
        </is>
      </c>
    </row>
    <row r="21">
      <c r="A21" s="2" t="inlineStr">
        <is>
          <t>Target Geo 2</t>
        </is>
      </c>
      <c r="B21" s="6" t="inlineStr">
        <is>
          <t>UK</t>
        </is>
      </c>
      <c r="C21" s="2" t="inlineStr">
        <is>
          <t>Primary geography</t>
        </is>
      </c>
    </row>
    <row r="22">
      <c r="A22" s="2" t="inlineStr">
        <is>
          <t>Target Geo 3</t>
        </is>
      </c>
      <c r="B22" s="6" t="inlineStr">
        <is>
          <t>CA</t>
        </is>
      </c>
      <c r="C22" s="2" t="inlineStr">
        <is>
          <t>Primary geography</t>
        </is>
      </c>
    </row>
    <row r="23">
      <c r="A23" s="2" t="inlineStr"/>
      <c r="B23" s="2" t="inlineStr"/>
      <c r="C23" s="2" t="inlineStr"/>
    </row>
    <row r="24">
      <c r="A24" s="3" t="inlineStr">
        <is>
          <t>INTENT SCORING</t>
        </is>
      </c>
      <c r="B24" s="2" t="inlineStr"/>
      <c r="C24" s="2" t="inlineStr"/>
    </row>
    <row r="25">
      <c r="A25" s="4" t="inlineStr">
        <is>
          <t>Parameter</t>
        </is>
      </c>
      <c r="B25" s="2" t="inlineStr">
        <is>
          <t>Value</t>
        </is>
      </c>
      <c r="C25" s="2" t="inlineStr">
        <is>
          <t>Description</t>
        </is>
      </c>
    </row>
    <row r="26">
      <c r="A26" s="2" t="inlineStr">
        <is>
          <t>Points per Website Visit</t>
        </is>
      </c>
      <c r="B26" s="5" t="n">
        <v>10</v>
      </c>
      <c r="C26" s="2" t="inlineStr">
        <is>
          <t>Recency-weighted</t>
        </is>
      </c>
    </row>
    <row r="27">
      <c r="A27" s="2" t="inlineStr">
        <is>
          <t>Points per Content Download</t>
        </is>
      </c>
      <c r="B27" s="5" t="n">
        <v>25</v>
      </c>
      <c r="C27" s="2" t="inlineStr">
        <is>
          <t>High-value signal</t>
        </is>
      </c>
    </row>
    <row r="28">
      <c r="A28" s="2" t="inlineStr">
        <is>
          <t>Points per Event Attendance</t>
        </is>
      </c>
      <c r="B28" s="5" t="n">
        <v>40</v>
      </c>
      <c r="C28" s="2" t="inlineStr">
        <is>
          <t>Strongest signal</t>
        </is>
      </c>
    </row>
    <row r="29">
      <c r="A29" s="2" t="inlineStr">
        <is>
          <t>Intent Decay Days</t>
        </is>
      </c>
      <c r="B29" s="5" t="n">
        <v>30</v>
      </c>
      <c r="C29" s="2" t="inlineStr">
        <is>
          <t>Half-life for signals</t>
        </is>
      </c>
    </row>
    <row r="30">
      <c r="A30" s="2" t="inlineStr">
        <is>
          <t>Max Visit Score</t>
        </is>
      </c>
      <c r="B30" s="5" t="n">
        <v>40</v>
      </c>
      <c r="C30" s="2" t="inlineStr">
        <is>
          <t>Cap for visit points</t>
        </is>
      </c>
    </row>
    <row r="31">
      <c r="A31" s="2" t="inlineStr">
        <is>
          <t>Max Content Score</t>
        </is>
      </c>
      <c r="B31" s="5" t="n">
        <v>50</v>
      </c>
      <c r="C31" s="2" t="inlineStr">
        <is>
          <t>Cap for content points</t>
        </is>
      </c>
    </row>
    <row r="32">
      <c r="A32" s="2" t="inlineStr">
        <is>
          <t>Max Event Score</t>
        </is>
      </c>
      <c r="B32" s="5" t="n">
        <v>60</v>
      </c>
      <c r="C32" s="2" t="inlineStr">
        <is>
          <t>Cap for event points</t>
        </is>
      </c>
    </row>
    <row r="33">
      <c r="A33" s="2" t="inlineStr"/>
      <c r="B33" s="2" t="inlineStr"/>
      <c r="C33" s="2" t="inlineStr"/>
    </row>
    <row r="34">
      <c r="A34" s="3" t="inlineStr">
        <is>
          <t>ENGAGEMENT SCORING</t>
        </is>
      </c>
      <c r="B34" s="2" t="inlineStr"/>
      <c r="C34" s="2" t="inlineStr"/>
    </row>
    <row r="35">
      <c r="A35" s="4" t="inlineStr">
        <is>
          <t>Parameter</t>
        </is>
      </c>
      <c r="B35" s="2" t="inlineStr">
        <is>
          <t>Value</t>
        </is>
      </c>
      <c r="C35" s="2" t="inlineStr">
        <is>
          <t>Description</t>
        </is>
      </c>
    </row>
    <row r="36">
      <c r="A36" s="2" t="inlineStr">
        <is>
          <t>Points per Email Open</t>
        </is>
      </c>
      <c r="B36" s="5" t="n">
        <v>5</v>
      </c>
      <c r="C36" s="2" t="inlineStr">
        <is>
          <t>Basic engagement</t>
        </is>
      </c>
    </row>
    <row r="37">
      <c r="A37" s="2" t="inlineStr">
        <is>
          <t>Points per Email Reply</t>
        </is>
      </c>
      <c r="B37" s="5" t="n">
        <v>30</v>
      </c>
      <c r="C37" s="2" t="inlineStr">
        <is>
          <t>Strong signal</t>
        </is>
      </c>
    </row>
    <row r="38">
      <c r="A38" s="2" t="inlineStr">
        <is>
          <t>Points per Meeting Held</t>
        </is>
      </c>
      <c r="B38" s="5" t="n">
        <v>50</v>
      </c>
      <c r="C38" s="2" t="inlineStr">
        <is>
          <t>Strongest engagement</t>
        </is>
      </c>
    </row>
    <row r="39">
      <c r="A39" s="2" t="inlineStr">
        <is>
          <t>Staleness Penalty per Day</t>
        </is>
      </c>
      <c r="B39" s="5" t="n">
        <v>-2</v>
      </c>
      <c r="C39" s="2" t="inlineStr">
        <is>
          <t>Decay for no contact</t>
        </is>
      </c>
    </row>
    <row r="40">
      <c r="A40" s="2" t="inlineStr">
        <is>
          <t>Max Staleness Penalty</t>
        </is>
      </c>
      <c r="B40" s="5" t="n">
        <v>-40</v>
      </c>
      <c r="C40" s="2" t="inlineStr">
        <is>
          <t>Floor for penalty</t>
        </is>
      </c>
    </row>
    <row r="41">
      <c r="A41" s="2" t="inlineStr"/>
      <c r="B41" s="2" t="inlineStr"/>
      <c r="C41" s="2" t="inlineStr"/>
    </row>
    <row r="42">
      <c r="A42" s="3" t="inlineStr">
        <is>
          <t>TIER THRESHOLDS</t>
        </is>
      </c>
      <c r="B42" s="2" t="inlineStr"/>
      <c r="C42" s="2" t="inlineStr"/>
    </row>
    <row r="43">
      <c r="A43" s="4" t="inlineStr">
        <is>
          <t>Parameter</t>
        </is>
      </c>
      <c r="B43" s="2" t="inlineStr">
        <is>
          <t>Value</t>
        </is>
      </c>
      <c r="C43" s="2" t="inlineStr">
        <is>
          <t>Description</t>
        </is>
      </c>
    </row>
    <row r="44">
      <c r="A44" s="2" t="inlineStr">
        <is>
          <t>Hot Threshold</t>
        </is>
      </c>
      <c r="B44" s="5" t="n">
        <v>80</v>
      </c>
      <c r="C44" s="2" t="inlineStr">
        <is>
          <t>Immediate action needed</t>
        </is>
      </c>
    </row>
    <row r="45">
      <c r="A45" s="2" t="inlineStr">
        <is>
          <t>Warm Threshold</t>
        </is>
      </c>
      <c r="B45" s="5" t="n">
        <v>60</v>
      </c>
      <c r="C45" s="2" t="inlineStr">
        <is>
          <t>Active pursuit</t>
        </is>
      </c>
    </row>
    <row r="46">
      <c r="A46" s="2" t="inlineStr">
        <is>
          <t>Nurture Threshold</t>
        </is>
      </c>
      <c r="B46" s="5" t="n">
        <v>40</v>
      </c>
      <c r="C46" s="2" t="inlineStr">
        <is>
          <t>Long-term drip</t>
        </is>
      </c>
    </row>
    <row r="47">
      <c r="A47" s="2" t="inlineStr"/>
      <c r="B47" s="2" t="inlineStr"/>
      <c r="C47" s="2" t="inlineStr"/>
    </row>
    <row r="48">
      <c r="A48" s="3" t="inlineStr">
        <is>
          <t>TIMING ADJUSTMENTS</t>
        </is>
      </c>
      <c r="B48" s="2" t="inlineStr"/>
      <c r="C48" s="2" t="inlineStr"/>
    </row>
    <row r="49">
      <c r="A49" s="4" t="inlineStr">
        <is>
          <t>Parameter</t>
        </is>
      </c>
      <c r="B49" s="2" t="inlineStr">
        <is>
          <t>Value</t>
        </is>
      </c>
      <c r="C49" s="2" t="inlineStr">
        <is>
          <t>Description</t>
        </is>
      </c>
    </row>
    <row r="50">
      <c r="A50" s="2" t="inlineStr">
        <is>
          <t>Q4 Budget Flush Bonus</t>
        </is>
      </c>
      <c r="B50" s="5" t="n">
        <v>15</v>
      </c>
      <c r="C50" s="2" t="inlineStr">
        <is>
          <t>Oct-Dec boost</t>
        </is>
      </c>
    </row>
    <row r="51">
      <c r="A51" s="2" t="inlineStr">
        <is>
          <t>Trigger Event Bonus</t>
        </is>
      </c>
      <c r="B51" s="5" t="n">
        <v>20</v>
      </c>
      <c r="C51" s="2" t="inlineStr">
        <is>
          <t>Funding, new exec, etc.</t>
        </is>
      </c>
    </row>
    <row r="52">
      <c r="A52" s="2" t="inlineStr">
        <is>
          <t>Q4 Start Month</t>
        </is>
      </c>
      <c r="B52" s="5" t="n">
        <v>10</v>
      </c>
      <c r="C52" s="2" t="inlineStr">
        <is>
          <t>October</t>
        </is>
      </c>
    </row>
    <row r="53">
      <c r="A53" s="2" t="inlineStr">
        <is>
          <t>Q4 End Month</t>
        </is>
      </c>
      <c r="B53" s="5" t="n">
        <v>12</v>
      </c>
      <c r="C53" s="2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7" t="inlineStr">
        <is>
          <t>Company ID</t>
        </is>
      </c>
      <c r="B1" s="7" t="inlineStr">
        <is>
          <t>Company Name</t>
        </is>
      </c>
      <c r="C1" s="7" t="inlineStr">
        <is>
          <t>Industry</t>
        </is>
      </c>
      <c r="D1" s="7" t="inlineStr">
        <is>
          <t>Employee Count</t>
        </is>
      </c>
      <c r="E1" s="7" t="inlineStr">
        <is>
          <t>Revenue ($M)</t>
        </is>
      </c>
      <c r="F1" s="7" t="inlineStr">
        <is>
          <t>HQ Country</t>
        </is>
      </c>
      <c r="G1" s="7" t="inlineStr">
        <is>
          <t>Primary Contact</t>
        </is>
      </c>
      <c r="H1" s="7" t="inlineStr">
        <is>
          <t>Contact Title</t>
        </is>
      </c>
      <c r="I1" s="7" t="inlineStr">
        <is>
          <t>Contact Email</t>
        </is>
      </c>
      <c r="J1" s="7" t="inlineStr">
        <is>
          <t>Website Visits (30d)</t>
        </is>
      </c>
      <c r="K1" s="7" t="inlineStr">
        <is>
          <t>Content Downloads (30d)</t>
        </is>
      </c>
      <c r="L1" s="7" t="inlineStr">
        <is>
          <t>Event Registrations</t>
        </is>
      </c>
      <c r="M1" s="7" t="inlineStr">
        <is>
          <t>Emails Sent</t>
        </is>
      </c>
      <c r="N1" s="7" t="inlineStr">
        <is>
          <t>Email Opens</t>
        </is>
      </c>
      <c r="O1" s="7" t="inlineStr">
        <is>
          <t>Email Replies</t>
        </is>
      </c>
      <c r="P1" s="7" t="inlineStr">
        <is>
          <t>Meetings Held</t>
        </is>
      </c>
      <c r="Q1" s="7" t="inlineStr">
        <is>
          <t>Last Touch Date</t>
        </is>
      </c>
      <c r="R1" s="7" t="inlineStr">
        <is>
          <t>Trigger Event</t>
        </is>
      </c>
      <c r="S1" s="7" t="inlineStr">
        <is>
          <t>Owner</t>
        </is>
      </c>
      <c r="T1" s="7" t="inlineStr">
        <is>
          <t>Notes</t>
        </is>
      </c>
    </row>
    <row r="2">
      <c r="A2" s="6" t="inlineStr">
        <is>
          <t>COMP-001</t>
        </is>
      </c>
      <c r="B2" s="6" t="inlineStr">
        <is>
          <t>TechFlow Solutions</t>
        </is>
      </c>
      <c r="C2" s="6" t="inlineStr">
        <is>
          <t>SaaS</t>
        </is>
      </c>
      <c r="D2" s="6" t="n">
        <v>320</v>
      </c>
      <c r="E2" s="6" t="n">
        <v>45</v>
      </c>
      <c r="F2" s="6" t="inlineStr">
        <is>
          <t>US</t>
        </is>
      </c>
      <c r="G2" s="6" t="inlineStr">
        <is>
          <t>Sarah Chen</t>
        </is>
      </c>
      <c r="H2" s="6" t="inlineStr">
        <is>
          <t>VP Sales</t>
        </is>
      </c>
      <c r="I2" s="6" t="inlineStr">
        <is>
          <t>schen@techflow.com</t>
        </is>
      </c>
      <c r="J2" s="6" t="n">
        <v>8</v>
      </c>
      <c r="K2" s="6" t="n">
        <v>2</v>
      </c>
      <c r="L2" s="6" t="n">
        <v>1</v>
      </c>
      <c r="M2" s="6" t="n">
        <v>5</v>
      </c>
      <c r="N2" s="6" t="n">
        <v>4</v>
      </c>
      <c r="O2" s="6" t="n">
        <v>2</v>
      </c>
      <c r="P2" s="6" t="n">
        <v>1</v>
      </c>
      <c r="Q2" s="8" t="n">
        <v>45636</v>
      </c>
      <c r="R2" s="6" t="inlineStr">
        <is>
          <t>Series B Funding</t>
        </is>
      </c>
      <c r="S2" s="6" t="inlineStr">
        <is>
          <t>John D</t>
        </is>
      </c>
      <c r="T2" s="6" t="inlineStr">
        <is>
          <t>Met at conference</t>
        </is>
      </c>
    </row>
    <row r="3">
      <c r="A3" s="6" t="inlineStr">
        <is>
          <t>COMP-002</t>
        </is>
      </c>
      <c r="B3" s="6" t="inlineStr">
        <is>
          <t>DataPrime Inc</t>
        </is>
      </c>
      <c r="C3" s="6" t="inlineStr">
        <is>
          <t>FinTech</t>
        </is>
      </c>
      <c r="D3" s="6" t="n">
        <v>180</v>
      </c>
      <c r="E3" s="6" t="n">
        <v>28</v>
      </c>
      <c r="F3" s="6" t="inlineStr">
        <is>
          <t>US</t>
        </is>
      </c>
      <c r="G3" s="6" t="inlineStr">
        <is>
          <t>Mike Johnson</t>
        </is>
      </c>
      <c r="H3" s="6" t="inlineStr">
        <is>
          <t>CTO</t>
        </is>
      </c>
      <c r="I3" s="6" t="inlineStr">
        <is>
          <t>mjohnson@dataprime.io</t>
        </is>
      </c>
      <c r="J3" s="6" t="n">
        <v>12</v>
      </c>
      <c r="K3" s="6" t="n">
        <v>3</v>
      </c>
      <c r="L3" s="6" t="n">
        <v>0</v>
      </c>
      <c r="M3" s="6" t="n">
        <v>8</v>
      </c>
      <c r="N3" s="6" t="n">
        <v>6</v>
      </c>
      <c r="O3" s="6" t="n">
        <v>1</v>
      </c>
      <c r="P3" s="6" t="n">
        <v>0</v>
      </c>
      <c r="Q3" s="8" t="n">
        <v>45631</v>
      </c>
      <c r="R3" s="6" t="inlineStr"/>
      <c r="S3" s="6" t="inlineStr">
        <is>
          <t>Sarah M</t>
        </is>
      </c>
      <c r="T3" s="6" t="inlineStr">
        <is>
          <t>Competitor user</t>
        </is>
      </c>
    </row>
    <row r="4">
      <c r="A4" s="6" t="inlineStr">
        <is>
          <t>COMP-003</t>
        </is>
      </c>
      <c r="B4" s="6" t="inlineStr">
        <is>
          <t>HealthSync Pro</t>
        </is>
      </c>
      <c r="C4" s="6" t="inlineStr">
        <is>
          <t>HealthTech</t>
        </is>
      </c>
      <c r="D4" s="6" t="n">
        <v>450</v>
      </c>
      <c r="E4" s="6" t="n">
        <v>72</v>
      </c>
      <c r="F4" s="6" t="inlineStr">
        <is>
          <t>UK</t>
        </is>
      </c>
      <c r="G4" s="6" t="inlineStr">
        <is>
          <t>Emma Wilson</t>
        </is>
      </c>
      <c r="H4" s="6" t="inlineStr">
        <is>
          <t>CEO</t>
        </is>
      </c>
      <c r="I4" s="6" t="inlineStr">
        <is>
          <t>ewilson@healthsync.co.uk</t>
        </is>
      </c>
      <c r="J4" s="6" t="n">
        <v>3</v>
      </c>
      <c r="K4" s="6" t="n">
        <v>0</v>
      </c>
      <c r="L4" s="6" t="n">
        <v>2</v>
      </c>
      <c r="M4" s="6" t="n">
        <v>3</v>
      </c>
      <c r="N4" s="6" t="n">
        <v>1</v>
      </c>
      <c r="O4" s="6" t="n">
        <v>0</v>
      </c>
      <c r="P4" s="6" t="n">
        <v>0</v>
      </c>
      <c r="Q4" s="8" t="n">
        <v>45616</v>
      </c>
      <c r="R4" s="6" t="inlineStr">
        <is>
          <t>New CEO hired</t>
        </is>
      </c>
      <c r="S4" s="6" t="inlineStr">
        <is>
          <t>John D</t>
        </is>
      </c>
      <c r="T4" s="6" t="inlineStr"/>
    </row>
    <row r="5">
      <c r="A5" s="6" t="inlineStr">
        <is>
          <t>COMP-004</t>
        </is>
      </c>
      <c r="B5" s="6" t="inlineStr">
        <is>
          <t>CloudNine Systems</t>
        </is>
      </c>
      <c r="C5" s="6" t="inlineStr">
        <is>
          <t>SaaS</t>
        </is>
      </c>
      <c r="D5" s="6" t="n">
        <v>85</v>
      </c>
      <c r="E5" s="6" t="n">
        <v>12</v>
      </c>
      <c r="F5" s="6" t="inlineStr">
        <is>
          <t>CA</t>
        </is>
      </c>
      <c r="G5" s="6" t="inlineStr">
        <is>
          <t>David Lee</t>
        </is>
      </c>
      <c r="H5" s="6" t="inlineStr">
        <is>
          <t>Director Ops</t>
        </is>
      </c>
      <c r="I5" s="6" t="inlineStr">
        <is>
          <t>dlee@cloudnine.ca</t>
        </is>
      </c>
      <c r="J5" s="6" t="n">
        <v>15</v>
      </c>
      <c r="K5" s="6" t="n">
        <v>4</v>
      </c>
      <c r="L5" s="6" t="n">
        <v>1</v>
      </c>
      <c r="M5" s="6" t="n">
        <v>10</v>
      </c>
      <c r="N5" s="6" t="n">
        <v>8</v>
      </c>
      <c r="O5" s="6" t="n">
        <v>3</v>
      </c>
      <c r="P5" s="6" t="n">
        <v>2</v>
      </c>
      <c r="Q5" s="8" t="n">
        <v>45638</v>
      </c>
      <c r="R5" s="6" t="inlineStr"/>
      <c r="S5" s="6" t="inlineStr">
        <is>
          <t>Sarah M</t>
        </is>
      </c>
      <c r="T5" s="6" t="inlineStr">
        <is>
          <t>Very engaged</t>
        </is>
      </c>
    </row>
    <row r="6">
      <c r="A6" s="6" t="inlineStr">
        <is>
          <t>COMP-005</t>
        </is>
      </c>
      <c r="B6" s="6" t="inlineStr">
        <is>
          <t>RetailMax Corp</t>
        </is>
      </c>
      <c r="C6" s="6" t="inlineStr">
        <is>
          <t>Retail</t>
        </is>
      </c>
      <c r="D6" s="6" t="n">
        <v>2500</v>
      </c>
      <c r="E6" s="6" t="n">
        <v>340</v>
      </c>
      <c r="F6" s="6" t="inlineStr">
        <is>
          <t>US</t>
        </is>
      </c>
      <c r="G6" s="6" t="inlineStr">
        <is>
          <t>Jennifer Adams</t>
        </is>
      </c>
      <c r="H6" s="6" t="inlineStr">
        <is>
          <t>VP IT</t>
        </is>
      </c>
      <c r="I6" s="6" t="inlineStr">
        <is>
          <t>jadams@retailmax.com</t>
        </is>
      </c>
      <c r="J6" s="6" t="n">
        <v>2</v>
      </c>
      <c r="K6" s="6" t="n">
        <v>1</v>
      </c>
      <c r="L6" s="6" t="n">
        <v>0</v>
      </c>
      <c r="M6" s="6" t="n">
        <v>4</v>
      </c>
      <c r="N6" s="6" t="n">
        <v>2</v>
      </c>
      <c r="O6" s="6" t="n">
        <v>0</v>
      </c>
      <c r="P6" s="6" t="n">
        <v>0</v>
      </c>
      <c r="Q6" s="8" t="n">
        <v>45580</v>
      </c>
      <c r="R6" s="6" t="inlineStr"/>
      <c r="S6" s="6" t="inlineStr">
        <is>
          <t>Mike T</t>
        </is>
      </c>
      <c r="T6" s="6" t="inlineStr">
        <is>
          <t>Large enterprise</t>
        </is>
      </c>
    </row>
    <row r="7">
      <c r="A7" s="6" t="inlineStr">
        <is>
          <t>COMP-006</t>
        </is>
      </c>
      <c r="B7" s="6" t="inlineStr">
        <is>
          <t>ManuTech Industries</t>
        </is>
      </c>
      <c r="C7" s="6" t="inlineStr">
        <is>
          <t>Manufacturing</t>
        </is>
      </c>
      <c r="D7" s="6" t="n">
        <v>620</v>
      </c>
      <c r="E7" s="6" t="n">
        <v>95</v>
      </c>
      <c r="F7" s="6" t="inlineStr">
        <is>
          <t>US</t>
        </is>
      </c>
      <c r="G7" s="6" t="inlineStr">
        <is>
          <t>Robert Brown</t>
        </is>
      </c>
      <c r="H7" s="6" t="inlineStr">
        <is>
          <t>Plant Manager</t>
        </is>
      </c>
      <c r="I7" s="6" t="inlineStr">
        <is>
          <t>rbrown@manutech.com</t>
        </is>
      </c>
      <c r="J7" s="6" t="n">
        <v>5</v>
      </c>
      <c r="K7" s="6" t="n">
        <v>1</v>
      </c>
      <c r="L7" s="6" t="n">
        <v>1</v>
      </c>
      <c r="M7" s="6" t="n">
        <v>6</v>
      </c>
      <c r="N7" s="6" t="n">
        <v>3</v>
      </c>
      <c r="O7" s="6" t="n">
        <v>1</v>
      </c>
      <c r="P7" s="6" t="n">
        <v>0</v>
      </c>
      <c r="Q7" s="8" t="n">
        <v>45624</v>
      </c>
      <c r="R7" s="6" t="inlineStr">
        <is>
          <t>Expansion announced</t>
        </is>
      </c>
      <c r="S7" s="6" t="inlineStr">
        <is>
          <t>John D</t>
        </is>
      </c>
      <c r="T7" s="6" t="inlineStr">
        <is>
          <t>Adjacent industry</t>
        </is>
      </c>
    </row>
    <row r="8">
      <c r="A8" s="6" t="inlineStr">
        <is>
          <t>COMP-007</t>
        </is>
      </c>
      <c r="B8" s="6" t="inlineStr">
        <is>
          <t>FinServe Global</t>
        </is>
      </c>
      <c r="C8" s="6" t="inlineStr">
        <is>
          <t>FinTech</t>
        </is>
      </c>
      <c r="D8" s="6" t="n">
        <v>290</v>
      </c>
      <c r="E8" s="6" t="n">
        <v>52</v>
      </c>
      <c r="F8" s="6" t="inlineStr">
        <is>
          <t>UK</t>
        </is>
      </c>
      <c r="G8" s="6" t="inlineStr">
        <is>
          <t>Lisa Park</t>
        </is>
      </c>
      <c r="H8" s="6" t="inlineStr">
        <is>
          <t>CFO</t>
        </is>
      </c>
      <c r="I8" s="6" t="inlineStr">
        <is>
          <t>lpark@finserve.co.uk</t>
        </is>
      </c>
      <c r="J8" s="6" t="n">
        <v>20</v>
      </c>
      <c r="K8" s="6" t="n">
        <v>5</v>
      </c>
      <c r="L8" s="6" t="n">
        <v>2</v>
      </c>
      <c r="M8" s="6" t="n">
        <v>12</v>
      </c>
      <c r="N8" s="6" t="n">
        <v>10</v>
      </c>
      <c r="O8" s="6" t="n">
        <v>4</v>
      </c>
      <c r="P8" s="6" t="n">
        <v>1</v>
      </c>
      <c r="Q8" s="8" t="n">
        <v>45637</v>
      </c>
      <c r="R8" s="6" t="inlineStr">
        <is>
          <t>IPO planned</t>
        </is>
      </c>
      <c r="S8" s="6" t="inlineStr">
        <is>
          <t>Sarah M</t>
        </is>
      </c>
      <c r="T8" s="6" t="inlineStr">
        <is>
          <t>Hot prospect</t>
        </is>
      </c>
    </row>
    <row r="9">
      <c r="A9" s="6" t="inlineStr">
        <is>
          <t>COMP-008</t>
        </is>
      </c>
      <c r="B9" s="6" t="inlineStr">
        <is>
          <t>SmallBiz Tools</t>
        </is>
      </c>
      <c r="C9" s="6" t="inlineStr">
        <is>
          <t>SaaS</t>
        </is>
      </c>
      <c r="D9" s="6" t="n">
        <v>25</v>
      </c>
      <c r="E9" s="6" t="n">
        <v>3</v>
      </c>
      <c r="F9" s="6" t="inlineStr">
        <is>
          <t>US</t>
        </is>
      </c>
      <c r="G9" s="6" t="inlineStr">
        <is>
          <t>Tom Garcia</t>
        </is>
      </c>
      <c r="H9" s="6" t="inlineStr">
        <is>
          <t>Founder</t>
        </is>
      </c>
      <c r="I9" s="6" t="inlineStr">
        <is>
          <t>tgarcia@smallbiz.io</t>
        </is>
      </c>
      <c r="J9" s="6" t="n">
        <v>6</v>
      </c>
      <c r="K9" s="6" t="n">
        <v>2</v>
      </c>
      <c r="L9" s="6" t="n">
        <v>0</v>
      </c>
      <c r="M9" s="6" t="n">
        <v>2</v>
      </c>
      <c r="N9" s="6" t="n">
        <v>1</v>
      </c>
      <c r="O9" s="6" t="n">
        <v>0</v>
      </c>
      <c r="P9" s="6" t="n">
        <v>0</v>
      </c>
      <c r="Q9" s="8" t="n">
        <v>45634</v>
      </c>
      <c r="R9" s="6" t="inlineStr"/>
      <c r="S9" s="6" t="inlineStr">
        <is>
          <t>Mike T</t>
        </is>
      </c>
      <c r="T9" s="6" t="inlineStr">
        <is>
          <t>Too small?</t>
        </is>
      </c>
    </row>
    <row r="10">
      <c r="A10" s="6" t="inlineStr">
        <is>
          <t>COMP-009</t>
        </is>
      </c>
      <c r="B10" s="6" t="inlineStr">
        <is>
          <t>MedDevice Plus</t>
        </is>
      </c>
      <c r="C10" s="6" t="inlineStr">
        <is>
          <t>HealthTech</t>
        </is>
      </c>
      <c r="D10" s="6" t="n">
        <v>380</v>
      </c>
      <c r="E10" s="6" t="n">
        <v>65</v>
      </c>
      <c r="F10" s="6" t="inlineStr">
        <is>
          <t>CA</t>
        </is>
      </c>
      <c r="G10" s="6" t="inlineStr">
        <is>
          <t>Anna Schmidt</t>
        </is>
      </c>
      <c r="H10" s="6" t="inlineStr">
        <is>
          <t>COO</t>
        </is>
      </c>
      <c r="I10" s="6" t="inlineStr">
        <is>
          <t>aschmidt@meddevice.ca</t>
        </is>
      </c>
      <c r="J10" s="6" t="n">
        <v>4</v>
      </c>
      <c r="K10" s="6" t="n">
        <v>1</v>
      </c>
      <c r="L10" s="6" t="n">
        <v>1</v>
      </c>
      <c r="M10" s="6" t="n">
        <v>7</v>
      </c>
      <c r="N10" s="6" t="n">
        <v>5</v>
      </c>
      <c r="O10" s="6" t="n">
        <v>2</v>
      </c>
      <c r="P10" s="6" t="n">
        <v>1</v>
      </c>
      <c r="Q10" s="8" t="n">
        <v>45627</v>
      </c>
      <c r="R10" s="6" t="inlineStr"/>
      <c r="S10" s="6" t="inlineStr">
        <is>
          <t>John D</t>
        </is>
      </c>
      <c r="T10" s="6" t="inlineStr">
        <is>
          <t>Good fit</t>
        </is>
      </c>
    </row>
    <row r="11">
      <c r="A11" s="6" t="inlineStr">
        <is>
          <t>COMP-010</t>
        </is>
      </c>
      <c r="B11" s="6" t="inlineStr">
        <is>
          <t>OldSchool Mfg</t>
        </is>
      </c>
      <c r="C11" s="6" t="inlineStr">
        <is>
          <t>Manufacturing</t>
        </is>
      </c>
      <c r="D11" s="6" t="n">
        <v>150</v>
      </c>
      <c r="E11" s="6" t="n">
        <v>22</v>
      </c>
      <c r="F11" s="6" t="inlineStr">
        <is>
          <t>US</t>
        </is>
      </c>
      <c r="G11" s="6" t="inlineStr">
        <is>
          <t>Bill Thompson</t>
        </is>
      </c>
      <c r="H11" s="6" t="inlineStr">
        <is>
          <t>Owner</t>
        </is>
      </c>
      <c r="I11" s="6" t="inlineStr">
        <is>
          <t>bthompson@oldschool.com</t>
        </is>
      </c>
      <c r="J11" s="6" t="n">
        <v>0</v>
      </c>
      <c r="K11" s="6" t="n">
        <v>0</v>
      </c>
      <c r="L11" s="6" t="n">
        <v>0</v>
      </c>
      <c r="M11" s="6" t="n">
        <v>3</v>
      </c>
      <c r="N11" s="6" t="n">
        <v>0</v>
      </c>
      <c r="O11" s="6" t="n">
        <v>0</v>
      </c>
      <c r="P11" s="6" t="n">
        <v>0</v>
      </c>
      <c r="Q11" s="8" t="n">
        <v>45536</v>
      </c>
      <c r="R11" s="6" t="inlineStr"/>
      <c r="S11" s="6" t="inlineStr">
        <is>
          <t>Mike T</t>
        </is>
      </c>
      <c r="T11" s="6" t="inlineStr">
        <is>
          <t>No engagement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7" t="inlineStr">
        <is>
          <t>Company ID</t>
        </is>
      </c>
      <c r="B1" s="7" t="inlineStr">
        <is>
          <t>Company Name</t>
        </is>
      </c>
      <c r="C1" s="7" t="inlineStr">
        <is>
          <t>Industry Match</t>
        </is>
      </c>
      <c r="D1" s="7" t="inlineStr">
        <is>
          <t>Size Match</t>
        </is>
      </c>
      <c r="E1" s="7" t="inlineStr">
        <is>
          <t>Geo Match</t>
        </is>
      </c>
      <c r="F1" s="7" t="inlineStr">
        <is>
          <t>Fit Score</t>
        </is>
      </c>
      <c r="G1" s="7" t="inlineStr">
        <is>
          <t>Visit Score</t>
        </is>
      </c>
      <c r="H1" s="7" t="inlineStr">
        <is>
          <t>Content Score</t>
        </is>
      </c>
      <c r="I1" s="7" t="inlineStr">
        <is>
          <t>Event Score</t>
        </is>
      </c>
      <c r="J1" s="7" t="inlineStr">
        <is>
          <t>Intent Score</t>
        </is>
      </c>
      <c r="K1" s="7" t="inlineStr">
        <is>
          <t>Open Score</t>
        </is>
      </c>
      <c r="L1" s="7" t="inlineStr">
        <is>
          <t>Reply Score</t>
        </is>
      </c>
      <c r="M1" s="7" t="inlineStr">
        <is>
          <t>Meeting Score</t>
        </is>
      </c>
      <c r="N1" s="7" t="inlineStr">
        <is>
          <t>Staleness Adj</t>
        </is>
      </c>
      <c r="O1" s="7" t="inlineStr">
        <is>
          <t>Engage Score</t>
        </is>
      </c>
      <c r="P1" s="7" t="inlineStr">
        <is>
          <t>Composite Score</t>
        </is>
      </c>
      <c r="Q1" s="7" t="inlineStr">
        <is>
          <t>Timing Adj</t>
        </is>
      </c>
      <c r="R1" s="7" t="inlineStr">
        <is>
          <t>Final Score</t>
        </is>
      </c>
    </row>
    <row r="2">
      <c r="A2" s="9">
        <f>'Raw Data'!A2</f>
        <v/>
      </c>
      <c r="B2" s="9">
        <f>'Raw Data'!B2</f>
        <v/>
      </c>
      <c r="C2" s="10">
        <f>IF(OR('Raw Data'!C2=Parameters!$B$11,'Raw Data'!C2=Parameters!$B$12,'Raw Data'!C2=Parameters!$B$13),100,IF(OR('Raw Data'!C2=Parameters!$B$14,'Raw Data'!C2=Parameters!$B$15),50,0))</f>
        <v/>
      </c>
      <c r="D2" s="10">
        <f>IF(AND('Raw Data'!D2&gt;=Parameters!$B$18,'Raw Data'!D2&lt;=Parameters!$B$19),100,IF(AND('Raw Data'!D2&gt;=Parameters!$B$16,'Raw Data'!D2&lt;=Parameters!$B$17),60,0))</f>
        <v/>
      </c>
      <c r="E2" s="10">
        <f>IF(OR('Raw Data'!F2=Parameters!$B$20,'Raw Data'!F2=Parameters!$B$21,'Raw Data'!F2=Parameters!$B$22),100,40)</f>
        <v/>
      </c>
      <c r="F2" s="10">
        <f>AVERAGE(C2:E2)</f>
        <v/>
      </c>
      <c r="G2" s="10">
        <f>MIN('Raw Data'!J2*Parameters!$B$26,Parameters!$B$30)</f>
        <v/>
      </c>
      <c r="H2" s="10">
        <f>MIN('Raw Data'!K2*Parameters!$B$27,Parameters!$B$31)</f>
        <v/>
      </c>
      <c r="I2" s="10">
        <f>MIN('Raw Data'!L2*Parameters!$B$28,Parameters!$B$32)</f>
        <v/>
      </c>
      <c r="J2" s="10">
        <f>MIN(G2+H2+I2,100)</f>
        <v/>
      </c>
      <c r="K2" s="10">
        <f>'Raw Data'!N2*Parameters!$B$36</f>
        <v/>
      </c>
      <c r="L2" s="10">
        <f>'Raw Data'!O2*Parameters!$B$37</f>
        <v/>
      </c>
      <c r="M2" s="10">
        <f>'Raw Data'!P2*Parameters!$B$38</f>
        <v/>
      </c>
      <c r="N2" s="10">
        <f>MAX(Parameters!$B$40,(TODAY()-'Raw Data'!Q2)*Parameters!$B$39)</f>
        <v/>
      </c>
      <c r="O2" s="10">
        <f>MAX(0,MIN(K2+L2+M2+N2,100))</f>
        <v/>
      </c>
      <c r="P2" s="10">
        <f>F2*Parameters!$B$5+J2*Parameters!$B$6+O2*Parameters!$B$7</f>
        <v/>
      </c>
      <c r="Q2" s="10">
        <f>IF(AND(MONTH(TODAY())&gt;=Parameters!$B$51,MONTH(TODAY())&lt;=Parameters!$B$52),Parameters!$B$49,0)+IF('Raw Data'!R2&lt;&gt;"",Parameters!$B$50,0)</f>
        <v/>
      </c>
      <c r="R2" s="10">
        <f>MIN(P2+Q2,100)</f>
        <v/>
      </c>
    </row>
    <row r="3">
      <c r="A3" s="9">
        <f>'Raw Data'!A3</f>
        <v/>
      </c>
      <c r="B3" s="9">
        <f>'Raw Data'!B3</f>
        <v/>
      </c>
      <c r="C3" s="10">
        <f>IF(OR('Raw Data'!C3=Parameters!$B$11,'Raw Data'!C3=Parameters!$B$12,'Raw Data'!C3=Parameters!$B$13),100,IF(OR('Raw Data'!C3=Parameters!$B$14,'Raw Data'!C3=Parameters!$B$15),50,0))</f>
        <v/>
      </c>
      <c r="D3" s="10">
        <f>IF(AND('Raw Data'!D3&gt;=Parameters!$B$18,'Raw Data'!D3&lt;=Parameters!$B$19),100,IF(AND('Raw Data'!D3&gt;=Parameters!$B$16,'Raw Data'!D3&lt;=Parameters!$B$17),60,0))</f>
        <v/>
      </c>
      <c r="E3" s="10">
        <f>IF(OR('Raw Data'!F3=Parameters!$B$20,'Raw Data'!F3=Parameters!$B$21,'Raw Data'!F3=Parameters!$B$22),100,40)</f>
        <v/>
      </c>
      <c r="F3" s="10">
        <f>AVERAGE(C3:E3)</f>
        <v/>
      </c>
      <c r="G3" s="10">
        <f>MIN('Raw Data'!J3*Parameters!$B$26,Parameters!$B$30)</f>
        <v/>
      </c>
      <c r="H3" s="10">
        <f>MIN('Raw Data'!K3*Parameters!$B$27,Parameters!$B$31)</f>
        <v/>
      </c>
      <c r="I3" s="10">
        <f>MIN('Raw Data'!L3*Parameters!$B$28,Parameters!$B$32)</f>
        <v/>
      </c>
      <c r="J3" s="10">
        <f>MIN(G3+H3+I3,100)</f>
        <v/>
      </c>
      <c r="K3" s="10">
        <f>'Raw Data'!N3*Parameters!$B$36</f>
        <v/>
      </c>
      <c r="L3" s="10">
        <f>'Raw Data'!O3*Parameters!$B$37</f>
        <v/>
      </c>
      <c r="M3" s="10">
        <f>'Raw Data'!P3*Parameters!$B$38</f>
        <v/>
      </c>
      <c r="N3" s="10">
        <f>MAX(Parameters!$B$40,(TODAY()-'Raw Data'!Q3)*Parameters!$B$39)</f>
        <v/>
      </c>
      <c r="O3" s="10">
        <f>MAX(0,MIN(K3+L3+M3+N3,100))</f>
        <v/>
      </c>
      <c r="P3" s="10">
        <f>F3*Parameters!$B$5+J3*Parameters!$B$6+O3*Parameters!$B$7</f>
        <v/>
      </c>
      <c r="Q3" s="10">
        <f>IF(AND(MONTH(TODAY())&gt;=Parameters!$B$51,MONTH(TODAY())&lt;=Parameters!$B$52),Parameters!$B$49,0)+IF('Raw Data'!R3&lt;&gt;"",Parameters!$B$50,0)</f>
        <v/>
      </c>
      <c r="R3" s="10">
        <f>MIN(P3+Q3,100)</f>
        <v/>
      </c>
    </row>
    <row r="4">
      <c r="A4" s="9">
        <f>'Raw Data'!A4</f>
        <v/>
      </c>
      <c r="B4" s="9">
        <f>'Raw Data'!B4</f>
        <v/>
      </c>
      <c r="C4" s="10">
        <f>IF(OR('Raw Data'!C4=Parameters!$B$11,'Raw Data'!C4=Parameters!$B$12,'Raw Data'!C4=Parameters!$B$13),100,IF(OR('Raw Data'!C4=Parameters!$B$14,'Raw Data'!C4=Parameters!$B$15),50,0))</f>
        <v/>
      </c>
      <c r="D4" s="10">
        <f>IF(AND('Raw Data'!D4&gt;=Parameters!$B$18,'Raw Data'!D4&lt;=Parameters!$B$19),100,IF(AND('Raw Data'!D4&gt;=Parameters!$B$16,'Raw Data'!D4&lt;=Parameters!$B$17),60,0))</f>
        <v/>
      </c>
      <c r="E4" s="10">
        <f>IF(OR('Raw Data'!F4=Parameters!$B$20,'Raw Data'!F4=Parameters!$B$21,'Raw Data'!F4=Parameters!$B$22),100,40)</f>
        <v/>
      </c>
      <c r="F4" s="10">
        <f>AVERAGE(C4:E4)</f>
        <v/>
      </c>
      <c r="G4" s="10">
        <f>MIN('Raw Data'!J4*Parameters!$B$26,Parameters!$B$30)</f>
        <v/>
      </c>
      <c r="H4" s="10">
        <f>MIN('Raw Data'!K4*Parameters!$B$27,Parameters!$B$31)</f>
        <v/>
      </c>
      <c r="I4" s="10">
        <f>MIN('Raw Data'!L4*Parameters!$B$28,Parameters!$B$32)</f>
        <v/>
      </c>
      <c r="J4" s="10">
        <f>MIN(G4+H4+I4,100)</f>
        <v/>
      </c>
      <c r="K4" s="10">
        <f>'Raw Data'!N4*Parameters!$B$36</f>
        <v/>
      </c>
      <c r="L4" s="10">
        <f>'Raw Data'!O4*Parameters!$B$37</f>
        <v/>
      </c>
      <c r="M4" s="10">
        <f>'Raw Data'!P4*Parameters!$B$38</f>
        <v/>
      </c>
      <c r="N4" s="10">
        <f>MAX(Parameters!$B$40,(TODAY()-'Raw Data'!Q4)*Parameters!$B$39)</f>
        <v/>
      </c>
      <c r="O4" s="10">
        <f>MAX(0,MIN(K4+L4+M4+N4,100))</f>
        <v/>
      </c>
      <c r="P4" s="10">
        <f>F4*Parameters!$B$5+J4*Parameters!$B$6+O4*Parameters!$B$7</f>
        <v/>
      </c>
      <c r="Q4" s="10">
        <f>IF(AND(MONTH(TODAY())&gt;=Parameters!$B$51,MONTH(TODAY())&lt;=Parameters!$B$52),Parameters!$B$49,0)+IF('Raw Data'!R4&lt;&gt;"",Parameters!$B$50,0)</f>
        <v/>
      </c>
      <c r="R4" s="10">
        <f>MIN(P4+Q4,100)</f>
        <v/>
      </c>
    </row>
    <row r="5">
      <c r="A5" s="9">
        <f>'Raw Data'!A5</f>
        <v/>
      </c>
      <c r="B5" s="9">
        <f>'Raw Data'!B5</f>
        <v/>
      </c>
      <c r="C5" s="10">
        <f>IF(OR('Raw Data'!C5=Parameters!$B$11,'Raw Data'!C5=Parameters!$B$12,'Raw Data'!C5=Parameters!$B$13),100,IF(OR('Raw Data'!C5=Parameters!$B$14,'Raw Data'!C5=Parameters!$B$15),50,0))</f>
        <v/>
      </c>
      <c r="D5" s="10">
        <f>IF(AND('Raw Data'!D5&gt;=Parameters!$B$18,'Raw Data'!D5&lt;=Parameters!$B$19),100,IF(AND('Raw Data'!D5&gt;=Parameters!$B$16,'Raw Data'!D5&lt;=Parameters!$B$17),60,0))</f>
        <v/>
      </c>
      <c r="E5" s="10">
        <f>IF(OR('Raw Data'!F5=Parameters!$B$20,'Raw Data'!F5=Parameters!$B$21,'Raw Data'!F5=Parameters!$B$22),100,40)</f>
        <v/>
      </c>
      <c r="F5" s="10">
        <f>AVERAGE(C5:E5)</f>
        <v/>
      </c>
      <c r="G5" s="10">
        <f>MIN('Raw Data'!J5*Parameters!$B$26,Parameters!$B$30)</f>
        <v/>
      </c>
      <c r="H5" s="10">
        <f>MIN('Raw Data'!K5*Parameters!$B$27,Parameters!$B$31)</f>
        <v/>
      </c>
      <c r="I5" s="10">
        <f>MIN('Raw Data'!L5*Parameters!$B$28,Parameters!$B$32)</f>
        <v/>
      </c>
      <c r="J5" s="10">
        <f>MIN(G5+H5+I5,100)</f>
        <v/>
      </c>
      <c r="K5" s="10">
        <f>'Raw Data'!N5*Parameters!$B$36</f>
        <v/>
      </c>
      <c r="L5" s="10">
        <f>'Raw Data'!O5*Parameters!$B$37</f>
        <v/>
      </c>
      <c r="M5" s="10">
        <f>'Raw Data'!P5*Parameters!$B$38</f>
        <v/>
      </c>
      <c r="N5" s="10">
        <f>MAX(Parameters!$B$40,(TODAY()-'Raw Data'!Q5)*Parameters!$B$39)</f>
        <v/>
      </c>
      <c r="O5" s="10">
        <f>MAX(0,MIN(K5+L5+M5+N5,100))</f>
        <v/>
      </c>
      <c r="P5" s="10">
        <f>F5*Parameters!$B$5+J5*Parameters!$B$6+O5*Parameters!$B$7</f>
        <v/>
      </c>
      <c r="Q5" s="10">
        <f>IF(AND(MONTH(TODAY())&gt;=Parameters!$B$51,MONTH(TODAY())&lt;=Parameters!$B$52),Parameters!$B$49,0)+IF('Raw Data'!R5&lt;&gt;"",Parameters!$B$50,0)</f>
        <v/>
      </c>
      <c r="R5" s="10">
        <f>MIN(P5+Q5,100)</f>
        <v/>
      </c>
    </row>
    <row r="6">
      <c r="A6" s="9">
        <f>'Raw Data'!A6</f>
        <v/>
      </c>
      <c r="B6" s="9">
        <f>'Raw Data'!B6</f>
        <v/>
      </c>
      <c r="C6" s="10">
        <f>IF(OR('Raw Data'!C6=Parameters!$B$11,'Raw Data'!C6=Parameters!$B$12,'Raw Data'!C6=Parameters!$B$13),100,IF(OR('Raw Data'!C6=Parameters!$B$14,'Raw Data'!C6=Parameters!$B$15),50,0))</f>
        <v/>
      </c>
      <c r="D6" s="10">
        <f>IF(AND('Raw Data'!D6&gt;=Parameters!$B$18,'Raw Data'!D6&lt;=Parameters!$B$19),100,IF(AND('Raw Data'!D6&gt;=Parameters!$B$16,'Raw Data'!D6&lt;=Parameters!$B$17),60,0))</f>
        <v/>
      </c>
      <c r="E6" s="10">
        <f>IF(OR('Raw Data'!F6=Parameters!$B$20,'Raw Data'!F6=Parameters!$B$21,'Raw Data'!F6=Parameters!$B$22),100,40)</f>
        <v/>
      </c>
      <c r="F6" s="10">
        <f>AVERAGE(C6:E6)</f>
        <v/>
      </c>
      <c r="G6" s="10">
        <f>MIN('Raw Data'!J6*Parameters!$B$26,Parameters!$B$30)</f>
        <v/>
      </c>
      <c r="H6" s="10">
        <f>MIN('Raw Data'!K6*Parameters!$B$27,Parameters!$B$31)</f>
        <v/>
      </c>
      <c r="I6" s="10">
        <f>MIN('Raw Data'!L6*Parameters!$B$28,Parameters!$B$32)</f>
        <v/>
      </c>
      <c r="J6" s="10">
        <f>MIN(G6+H6+I6,100)</f>
        <v/>
      </c>
      <c r="K6" s="10">
        <f>'Raw Data'!N6*Parameters!$B$36</f>
        <v/>
      </c>
      <c r="L6" s="10">
        <f>'Raw Data'!O6*Parameters!$B$37</f>
        <v/>
      </c>
      <c r="M6" s="10">
        <f>'Raw Data'!P6*Parameters!$B$38</f>
        <v/>
      </c>
      <c r="N6" s="10">
        <f>MAX(Parameters!$B$40,(TODAY()-'Raw Data'!Q6)*Parameters!$B$39)</f>
        <v/>
      </c>
      <c r="O6" s="10">
        <f>MAX(0,MIN(K6+L6+M6+N6,100))</f>
        <v/>
      </c>
      <c r="P6" s="10">
        <f>F6*Parameters!$B$5+J6*Parameters!$B$6+O6*Parameters!$B$7</f>
        <v/>
      </c>
      <c r="Q6" s="10">
        <f>IF(AND(MONTH(TODAY())&gt;=Parameters!$B$51,MONTH(TODAY())&lt;=Parameters!$B$52),Parameters!$B$49,0)+IF('Raw Data'!R6&lt;&gt;"",Parameters!$B$50,0)</f>
        <v/>
      </c>
      <c r="R6" s="10">
        <f>MIN(P6+Q6,100)</f>
        <v/>
      </c>
    </row>
    <row r="7">
      <c r="A7" s="9">
        <f>'Raw Data'!A7</f>
        <v/>
      </c>
      <c r="B7" s="9">
        <f>'Raw Data'!B7</f>
        <v/>
      </c>
      <c r="C7" s="10">
        <f>IF(OR('Raw Data'!C7=Parameters!$B$11,'Raw Data'!C7=Parameters!$B$12,'Raw Data'!C7=Parameters!$B$13),100,IF(OR('Raw Data'!C7=Parameters!$B$14,'Raw Data'!C7=Parameters!$B$15),50,0))</f>
        <v/>
      </c>
      <c r="D7" s="10">
        <f>IF(AND('Raw Data'!D7&gt;=Parameters!$B$18,'Raw Data'!D7&lt;=Parameters!$B$19),100,IF(AND('Raw Data'!D7&gt;=Parameters!$B$16,'Raw Data'!D7&lt;=Parameters!$B$17),60,0))</f>
        <v/>
      </c>
      <c r="E7" s="10">
        <f>IF(OR('Raw Data'!F7=Parameters!$B$20,'Raw Data'!F7=Parameters!$B$21,'Raw Data'!F7=Parameters!$B$22),100,40)</f>
        <v/>
      </c>
      <c r="F7" s="10">
        <f>AVERAGE(C7:E7)</f>
        <v/>
      </c>
      <c r="G7" s="10">
        <f>MIN('Raw Data'!J7*Parameters!$B$26,Parameters!$B$30)</f>
        <v/>
      </c>
      <c r="H7" s="10">
        <f>MIN('Raw Data'!K7*Parameters!$B$27,Parameters!$B$31)</f>
        <v/>
      </c>
      <c r="I7" s="10">
        <f>MIN('Raw Data'!L7*Parameters!$B$28,Parameters!$B$32)</f>
        <v/>
      </c>
      <c r="J7" s="10">
        <f>MIN(G7+H7+I7,100)</f>
        <v/>
      </c>
      <c r="K7" s="10">
        <f>'Raw Data'!N7*Parameters!$B$36</f>
        <v/>
      </c>
      <c r="L7" s="10">
        <f>'Raw Data'!O7*Parameters!$B$37</f>
        <v/>
      </c>
      <c r="M7" s="10">
        <f>'Raw Data'!P7*Parameters!$B$38</f>
        <v/>
      </c>
      <c r="N7" s="10">
        <f>MAX(Parameters!$B$40,(TODAY()-'Raw Data'!Q7)*Parameters!$B$39)</f>
        <v/>
      </c>
      <c r="O7" s="10">
        <f>MAX(0,MIN(K7+L7+M7+N7,100))</f>
        <v/>
      </c>
      <c r="P7" s="10">
        <f>F7*Parameters!$B$5+J7*Parameters!$B$6+O7*Parameters!$B$7</f>
        <v/>
      </c>
      <c r="Q7" s="10">
        <f>IF(AND(MONTH(TODAY())&gt;=Parameters!$B$51,MONTH(TODAY())&lt;=Parameters!$B$52),Parameters!$B$49,0)+IF('Raw Data'!R7&lt;&gt;"",Parameters!$B$50,0)</f>
        <v/>
      </c>
      <c r="R7" s="10">
        <f>MIN(P7+Q7,100)</f>
        <v/>
      </c>
    </row>
    <row r="8">
      <c r="A8" s="9">
        <f>'Raw Data'!A8</f>
        <v/>
      </c>
      <c r="B8" s="9">
        <f>'Raw Data'!B8</f>
        <v/>
      </c>
      <c r="C8" s="10">
        <f>IF(OR('Raw Data'!C8=Parameters!$B$11,'Raw Data'!C8=Parameters!$B$12,'Raw Data'!C8=Parameters!$B$13),100,IF(OR('Raw Data'!C8=Parameters!$B$14,'Raw Data'!C8=Parameters!$B$15),50,0))</f>
        <v/>
      </c>
      <c r="D8" s="10">
        <f>IF(AND('Raw Data'!D8&gt;=Parameters!$B$18,'Raw Data'!D8&lt;=Parameters!$B$19),100,IF(AND('Raw Data'!D8&gt;=Parameters!$B$16,'Raw Data'!D8&lt;=Parameters!$B$17),60,0))</f>
        <v/>
      </c>
      <c r="E8" s="10">
        <f>IF(OR('Raw Data'!F8=Parameters!$B$20,'Raw Data'!F8=Parameters!$B$21,'Raw Data'!F8=Parameters!$B$22),100,40)</f>
        <v/>
      </c>
      <c r="F8" s="10">
        <f>AVERAGE(C8:E8)</f>
        <v/>
      </c>
      <c r="G8" s="10">
        <f>MIN('Raw Data'!J8*Parameters!$B$26,Parameters!$B$30)</f>
        <v/>
      </c>
      <c r="H8" s="10">
        <f>MIN('Raw Data'!K8*Parameters!$B$27,Parameters!$B$31)</f>
        <v/>
      </c>
      <c r="I8" s="10">
        <f>MIN('Raw Data'!L8*Parameters!$B$28,Parameters!$B$32)</f>
        <v/>
      </c>
      <c r="J8" s="10">
        <f>MIN(G8+H8+I8,100)</f>
        <v/>
      </c>
      <c r="K8" s="10">
        <f>'Raw Data'!N8*Parameters!$B$36</f>
        <v/>
      </c>
      <c r="L8" s="10">
        <f>'Raw Data'!O8*Parameters!$B$37</f>
        <v/>
      </c>
      <c r="M8" s="10">
        <f>'Raw Data'!P8*Parameters!$B$38</f>
        <v/>
      </c>
      <c r="N8" s="10">
        <f>MAX(Parameters!$B$40,(TODAY()-'Raw Data'!Q8)*Parameters!$B$39)</f>
        <v/>
      </c>
      <c r="O8" s="10">
        <f>MAX(0,MIN(K8+L8+M8+N8,100))</f>
        <v/>
      </c>
      <c r="P8" s="10">
        <f>F8*Parameters!$B$5+J8*Parameters!$B$6+O8*Parameters!$B$7</f>
        <v/>
      </c>
      <c r="Q8" s="10">
        <f>IF(AND(MONTH(TODAY())&gt;=Parameters!$B$51,MONTH(TODAY())&lt;=Parameters!$B$52),Parameters!$B$49,0)+IF('Raw Data'!R8&lt;&gt;"",Parameters!$B$50,0)</f>
        <v/>
      </c>
      <c r="R8" s="10">
        <f>MIN(P8+Q8,100)</f>
        <v/>
      </c>
    </row>
    <row r="9">
      <c r="A9" s="9">
        <f>'Raw Data'!A9</f>
        <v/>
      </c>
      <c r="B9" s="9">
        <f>'Raw Data'!B9</f>
        <v/>
      </c>
      <c r="C9" s="10">
        <f>IF(OR('Raw Data'!C9=Parameters!$B$11,'Raw Data'!C9=Parameters!$B$12,'Raw Data'!C9=Parameters!$B$13),100,IF(OR('Raw Data'!C9=Parameters!$B$14,'Raw Data'!C9=Parameters!$B$15),50,0))</f>
        <v/>
      </c>
      <c r="D9" s="10">
        <f>IF(AND('Raw Data'!D9&gt;=Parameters!$B$18,'Raw Data'!D9&lt;=Parameters!$B$19),100,IF(AND('Raw Data'!D9&gt;=Parameters!$B$16,'Raw Data'!D9&lt;=Parameters!$B$17),60,0))</f>
        <v/>
      </c>
      <c r="E9" s="10">
        <f>IF(OR('Raw Data'!F9=Parameters!$B$20,'Raw Data'!F9=Parameters!$B$21,'Raw Data'!F9=Parameters!$B$22),100,40)</f>
        <v/>
      </c>
      <c r="F9" s="10">
        <f>AVERAGE(C9:E9)</f>
        <v/>
      </c>
      <c r="G9" s="10">
        <f>MIN('Raw Data'!J9*Parameters!$B$26,Parameters!$B$30)</f>
        <v/>
      </c>
      <c r="H9" s="10">
        <f>MIN('Raw Data'!K9*Parameters!$B$27,Parameters!$B$31)</f>
        <v/>
      </c>
      <c r="I9" s="10">
        <f>MIN('Raw Data'!L9*Parameters!$B$28,Parameters!$B$32)</f>
        <v/>
      </c>
      <c r="J9" s="10">
        <f>MIN(G9+H9+I9,100)</f>
        <v/>
      </c>
      <c r="K9" s="10">
        <f>'Raw Data'!N9*Parameters!$B$36</f>
        <v/>
      </c>
      <c r="L9" s="10">
        <f>'Raw Data'!O9*Parameters!$B$37</f>
        <v/>
      </c>
      <c r="M9" s="10">
        <f>'Raw Data'!P9*Parameters!$B$38</f>
        <v/>
      </c>
      <c r="N9" s="10">
        <f>MAX(Parameters!$B$40,(TODAY()-'Raw Data'!Q9)*Parameters!$B$39)</f>
        <v/>
      </c>
      <c r="O9" s="10">
        <f>MAX(0,MIN(K9+L9+M9+N9,100))</f>
        <v/>
      </c>
      <c r="P9" s="10">
        <f>F9*Parameters!$B$5+J9*Parameters!$B$6+O9*Parameters!$B$7</f>
        <v/>
      </c>
      <c r="Q9" s="10">
        <f>IF(AND(MONTH(TODAY())&gt;=Parameters!$B$51,MONTH(TODAY())&lt;=Parameters!$B$52),Parameters!$B$49,0)+IF('Raw Data'!R9&lt;&gt;"",Parameters!$B$50,0)</f>
        <v/>
      </c>
      <c r="R9" s="10">
        <f>MIN(P9+Q9,100)</f>
        <v/>
      </c>
    </row>
    <row r="10">
      <c r="A10" s="9">
        <f>'Raw Data'!A10</f>
        <v/>
      </c>
      <c r="B10" s="9">
        <f>'Raw Data'!B10</f>
        <v/>
      </c>
      <c r="C10" s="10">
        <f>IF(OR('Raw Data'!C10=Parameters!$B$11,'Raw Data'!C10=Parameters!$B$12,'Raw Data'!C10=Parameters!$B$13),100,IF(OR('Raw Data'!C10=Parameters!$B$14,'Raw Data'!C10=Parameters!$B$15),50,0))</f>
        <v/>
      </c>
      <c r="D10" s="10">
        <f>IF(AND('Raw Data'!D10&gt;=Parameters!$B$18,'Raw Data'!D10&lt;=Parameters!$B$19),100,IF(AND('Raw Data'!D10&gt;=Parameters!$B$16,'Raw Data'!D10&lt;=Parameters!$B$17),60,0))</f>
        <v/>
      </c>
      <c r="E10" s="10">
        <f>IF(OR('Raw Data'!F10=Parameters!$B$20,'Raw Data'!F10=Parameters!$B$21,'Raw Data'!F10=Parameters!$B$22),100,40)</f>
        <v/>
      </c>
      <c r="F10" s="10">
        <f>AVERAGE(C10:E10)</f>
        <v/>
      </c>
      <c r="G10" s="10">
        <f>MIN('Raw Data'!J10*Parameters!$B$26,Parameters!$B$30)</f>
        <v/>
      </c>
      <c r="H10" s="10">
        <f>MIN('Raw Data'!K10*Parameters!$B$27,Parameters!$B$31)</f>
        <v/>
      </c>
      <c r="I10" s="10">
        <f>MIN('Raw Data'!L10*Parameters!$B$28,Parameters!$B$32)</f>
        <v/>
      </c>
      <c r="J10" s="10">
        <f>MIN(G10+H10+I10,100)</f>
        <v/>
      </c>
      <c r="K10" s="10">
        <f>'Raw Data'!N10*Parameters!$B$36</f>
        <v/>
      </c>
      <c r="L10" s="10">
        <f>'Raw Data'!O10*Parameters!$B$37</f>
        <v/>
      </c>
      <c r="M10" s="10">
        <f>'Raw Data'!P10*Parameters!$B$38</f>
        <v/>
      </c>
      <c r="N10" s="10">
        <f>MAX(Parameters!$B$40,(TODAY()-'Raw Data'!Q10)*Parameters!$B$39)</f>
        <v/>
      </c>
      <c r="O10" s="10">
        <f>MAX(0,MIN(K10+L10+M10+N10,100))</f>
        <v/>
      </c>
      <c r="P10" s="10">
        <f>F10*Parameters!$B$5+J10*Parameters!$B$6+O10*Parameters!$B$7</f>
        <v/>
      </c>
      <c r="Q10" s="10">
        <f>IF(AND(MONTH(TODAY())&gt;=Parameters!$B$51,MONTH(TODAY())&lt;=Parameters!$B$52),Parameters!$B$49,0)+IF('Raw Data'!R10&lt;&gt;"",Parameters!$B$50,0)</f>
        <v/>
      </c>
      <c r="R10" s="10">
        <f>MIN(P10+Q10,100)</f>
        <v/>
      </c>
    </row>
    <row r="11">
      <c r="A11" s="9">
        <f>'Raw Data'!A11</f>
        <v/>
      </c>
      <c r="B11" s="9">
        <f>'Raw Data'!B11</f>
        <v/>
      </c>
      <c r="C11" s="10">
        <f>IF(OR('Raw Data'!C11=Parameters!$B$11,'Raw Data'!C11=Parameters!$B$12,'Raw Data'!C11=Parameters!$B$13),100,IF(OR('Raw Data'!C11=Parameters!$B$14,'Raw Data'!C11=Parameters!$B$15),50,0))</f>
        <v/>
      </c>
      <c r="D11" s="10">
        <f>IF(AND('Raw Data'!D11&gt;=Parameters!$B$18,'Raw Data'!D11&lt;=Parameters!$B$19),100,IF(AND('Raw Data'!D11&gt;=Parameters!$B$16,'Raw Data'!D11&lt;=Parameters!$B$17),60,0))</f>
        <v/>
      </c>
      <c r="E11" s="10">
        <f>IF(OR('Raw Data'!F11=Parameters!$B$20,'Raw Data'!F11=Parameters!$B$21,'Raw Data'!F11=Parameters!$B$22),100,40)</f>
        <v/>
      </c>
      <c r="F11" s="10">
        <f>AVERAGE(C11:E11)</f>
        <v/>
      </c>
      <c r="G11" s="10">
        <f>MIN('Raw Data'!J11*Parameters!$B$26,Parameters!$B$30)</f>
        <v/>
      </c>
      <c r="H11" s="10">
        <f>MIN('Raw Data'!K11*Parameters!$B$27,Parameters!$B$31)</f>
        <v/>
      </c>
      <c r="I11" s="10">
        <f>MIN('Raw Data'!L11*Parameters!$B$28,Parameters!$B$32)</f>
        <v/>
      </c>
      <c r="J11" s="10">
        <f>MIN(G11+H11+I11,100)</f>
        <v/>
      </c>
      <c r="K11" s="10">
        <f>'Raw Data'!N11*Parameters!$B$36</f>
        <v/>
      </c>
      <c r="L11" s="10">
        <f>'Raw Data'!O11*Parameters!$B$37</f>
        <v/>
      </c>
      <c r="M11" s="10">
        <f>'Raw Data'!P11*Parameters!$B$38</f>
        <v/>
      </c>
      <c r="N11" s="10">
        <f>MAX(Parameters!$B$40,(TODAY()-'Raw Data'!Q11)*Parameters!$B$39)</f>
        <v/>
      </c>
      <c r="O11" s="10">
        <f>MAX(0,MIN(K11+L11+M11+N11,100))</f>
        <v/>
      </c>
      <c r="P11" s="10">
        <f>F11*Parameters!$B$5+J11*Parameters!$B$6+O11*Parameters!$B$7</f>
        <v/>
      </c>
      <c r="Q11" s="10">
        <f>IF(AND(MONTH(TODAY())&gt;=Parameters!$B$51,MONTH(TODAY())&lt;=Parameters!$B$52),Parameters!$B$49,0)+IF('Raw Data'!R11&lt;&gt;"",Parameters!$B$50,0)</f>
        <v/>
      </c>
      <c r="R11" s="10">
        <f>MIN(P11+Q11,100)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7" t="inlineStr">
        <is>
          <t>Company ID</t>
        </is>
      </c>
      <c r="B1" s="7" t="inlineStr">
        <is>
          <t>Company Name</t>
        </is>
      </c>
      <c r="C1" s="7" t="inlineStr">
        <is>
          <t>Final Score</t>
        </is>
      </c>
      <c r="D1" s="7" t="inlineStr">
        <is>
          <t>Priority Tier</t>
        </is>
      </c>
      <c r="E1" s="7" t="inlineStr">
        <is>
          <t>Recommended Channel</t>
        </is>
      </c>
      <c r="F1" s="7" t="inlineStr">
        <is>
          <t>Cadence</t>
        </is>
      </c>
      <c r="G1" s="7" t="inlineStr">
        <is>
          <t>Next Action</t>
        </is>
      </c>
      <c r="H1" s="7" t="inlineStr">
        <is>
          <t>Days Since Touch</t>
        </is>
      </c>
      <c r="I1" s="7" t="inlineStr">
        <is>
          <t>Owner</t>
        </is>
      </c>
      <c r="J1" s="7" t="inlineStr">
        <is>
          <t>Talking Points</t>
        </is>
      </c>
    </row>
    <row r="2">
      <c r="A2" s="9">
        <f>Processing!A2</f>
        <v/>
      </c>
      <c r="B2" s="9">
        <f>Processing!B2</f>
        <v/>
      </c>
      <c r="C2" s="9">
        <f>Processing!R2</f>
        <v/>
      </c>
      <c r="D2" s="10">
        <f>IF(C2&gt;=Parameters!$B$44,"HOT",IF(C2&gt;=Parameters!$B$45,"WARM",IF(C2&gt;=Parameters!$B$46,"NURTURE","DISQUALIFY")))</f>
        <v/>
      </c>
      <c r="E2" s="10">
        <f>IF('Raw Data'!P2&gt;0,"Call",IF('Raw Data'!O2&gt;0,"Email",IF('Raw Data'!N2&gt;2,"LinkedIn","Cold Email")))</f>
        <v/>
      </c>
      <c r="F2" s="10">
        <f>IF(D2="HOT","Daily",IF(D2="WARM","2x/Week",IF(D2="NURTURE","Monthly","None")))</f>
        <v/>
      </c>
      <c r="G2" s="10">
        <f>IF('Raw Data'!P2=0,"Book intro call",IF('Raw Data'!O2=0,"Send follow-up","Schedule demo"))</f>
        <v/>
      </c>
      <c r="H2" s="10">
        <f>TODAY()-'Raw Data'!Q2</f>
        <v/>
      </c>
      <c r="I2" s="9">
        <f>'Raw Data'!S2</f>
        <v/>
      </c>
      <c r="J2" s="10">
        <f>IF('Raw Data'!R2&lt;&gt;"","Discuss: "&amp;'Raw Data'!R2,IF('Raw Data'!C2="SaaS","SaaS growth challenges",IF('Raw Data'!C2="FinTech","Compliance &amp; scale","Efficiency gains")))</f>
        <v/>
      </c>
    </row>
    <row r="3">
      <c r="A3" s="9">
        <f>Processing!A3</f>
        <v/>
      </c>
      <c r="B3" s="9">
        <f>Processing!B3</f>
        <v/>
      </c>
      <c r="C3" s="9">
        <f>Processing!R3</f>
        <v/>
      </c>
      <c r="D3" s="10">
        <f>IF(C3&gt;=Parameters!$B$44,"HOT",IF(C3&gt;=Parameters!$B$45,"WARM",IF(C3&gt;=Parameters!$B$46,"NURTURE","DISQUALIFY")))</f>
        <v/>
      </c>
      <c r="E3" s="10">
        <f>IF('Raw Data'!P3&gt;0,"Call",IF('Raw Data'!O3&gt;0,"Email",IF('Raw Data'!N3&gt;2,"LinkedIn","Cold Email")))</f>
        <v/>
      </c>
      <c r="F3" s="10">
        <f>IF(D3="HOT","Daily",IF(D3="WARM","2x/Week",IF(D3="NURTURE","Monthly","None")))</f>
        <v/>
      </c>
      <c r="G3" s="10">
        <f>IF('Raw Data'!P3=0,"Book intro call",IF('Raw Data'!O3=0,"Send follow-up","Schedule demo"))</f>
        <v/>
      </c>
      <c r="H3" s="10">
        <f>TODAY()-'Raw Data'!Q3</f>
        <v/>
      </c>
      <c r="I3" s="9">
        <f>'Raw Data'!S3</f>
        <v/>
      </c>
      <c r="J3" s="10">
        <f>IF('Raw Data'!R3&lt;&gt;"","Discuss: "&amp;'Raw Data'!R3,IF('Raw Data'!C3="SaaS","SaaS growth challenges",IF('Raw Data'!C3="FinTech","Compliance &amp; scale","Efficiency gains")))</f>
        <v/>
      </c>
    </row>
    <row r="4">
      <c r="A4" s="9">
        <f>Processing!A4</f>
        <v/>
      </c>
      <c r="B4" s="9">
        <f>Processing!B4</f>
        <v/>
      </c>
      <c r="C4" s="9">
        <f>Processing!R4</f>
        <v/>
      </c>
      <c r="D4" s="10">
        <f>IF(C4&gt;=Parameters!$B$44,"HOT",IF(C4&gt;=Parameters!$B$45,"WARM",IF(C4&gt;=Parameters!$B$46,"NURTURE","DISQUALIFY")))</f>
        <v/>
      </c>
      <c r="E4" s="10">
        <f>IF('Raw Data'!P4&gt;0,"Call",IF('Raw Data'!O4&gt;0,"Email",IF('Raw Data'!N4&gt;2,"LinkedIn","Cold Email")))</f>
        <v/>
      </c>
      <c r="F4" s="10">
        <f>IF(D4="HOT","Daily",IF(D4="WARM","2x/Week",IF(D4="NURTURE","Monthly","None")))</f>
        <v/>
      </c>
      <c r="G4" s="10">
        <f>IF('Raw Data'!P4=0,"Book intro call",IF('Raw Data'!O4=0,"Send follow-up","Schedule demo"))</f>
        <v/>
      </c>
      <c r="H4" s="10">
        <f>TODAY()-'Raw Data'!Q4</f>
        <v/>
      </c>
      <c r="I4" s="9">
        <f>'Raw Data'!S4</f>
        <v/>
      </c>
      <c r="J4" s="10">
        <f>IF('Raw Data'!R4&lt;&gt;"","Discuss: "&amp;'Raw Data'!R4,IF('Raw Data'!C4="SaaS","SaaS growth challenges",IF('Raw Data'!C4="FinTech","Compliance &amp; scale","Efficiency gains")))</f>
        <v/>
      </c>
    </row>
    <row r="5">
      <c r="A5" s="9">
        <f>Processing!A5</f>
        <v/>
      </c>
      <c r="B5" s="9">
        <f>Processing!B5</f>
        <v/>
      </c>
      <c r="C5" s="9">
        <f>Processing!R5</f>
        <v/>
      </c>
      <c r="D5" s="10">
        <f>IF(C5&gt;=Parameters!$B$44,"HOT",IF(C5&gt;=Parameters!$B$45,"WARM",IF(C5&gt;=Parameters!$B$46,"NURTURE","DISQUALIFY")))</f>
        <v/>
      </c>
      <c r="E5" s="10">
        <f>IF('Raw Data'!P5&gt;0,"Call",IF('Raw Data'!O5&gt;0,"Email",IF('Raw Data'!N5&gt;2,"LinkedIn","Cold Email")))</f>
        <v/>
      </c>
      <c r="F5" s="10">
        <f>IF(D5="HOT","Daily",IF(D5="WARM","2x/Week",IF(D5="NURTURE","Monthly","None")))</f>
        <v/>
      </c>
      <c r="G5" s="10">
        <f>IF('Raw Data'!P5=0,"Book intro call",IF('Raw Data'!O5=0,"Send follow-up","Schedule demo"))</f>
        <v/>
      </c>
      <c r="H5" s="10">
        <f>TODAY()-'Raw Data'!Q5</f>
        <v/>
      </c>
      <c r="I5" s="9">
        <f>'Raw Data'!S5</f>
        <v/>
      </c>
      <c r="J5" s="10">
        <f>IF('Raw Data'!R5&lt;&gt;"","Discuss: "&amp;'Raw Data'!R5,IF('Raw Data'!C5="SaaS","SaaS growth challenges",IF('Raw Data'!C5="FinTech","Compliance &amp; scale","Efficiency gains")))</f>
        <v/>
      </c>
    </row>
    <row r="6">
      <c r="A6" s="9">
        <f>Processing!A6</f>
        <v/>
      </c>
      <c r="B6" s="9">
        <f>Processing!B6</f>
        <v/>
      </c>
      <c r="C6" s="9">
        <f>Processing!R6</f>
        <v/>
      </c>
      <c r="D6" s="10">
        <f>IF(C6&gt;=Parameters!$B$44,"HOT",IF(C6&gt;=Parameters!$B$45,"WARM",IF(C6&gt;=Parameters!$B$46,"NURTURE","DISQUALIFY")))</f>
        <v/>
      </c>
      <c r="E6" s="10">
        <f>IF('Raw Data'!P6&gt;0,"Call",IF('Raw Data'!O6&gt;0,"Email",IF('Raw Data'!N6&gt;2,"LinkedIn","Cold Email")))</f>
        <v/>
      </c>
      <c r="F6" s="10">
        <f>IF(D6="HOT","Daily",IF(D6="WARM","2x/Week",IF(D6="NURTURE","Monthly","None")))</f>
        <v/>
      </c>
      <c r="G6" s="10">
        <f>IF('Raw Data'!P6=0,"Book intro call",IF('Raw Data'!O6=0,"Send follow-up","Schedule demo"))</f>
        <v/>
      </c>
      <c r="H6" s="10">
        <f>TODAY()-'Raw Data'!Q6</f>
        <v/>
      </c>
      <c r="I6" s="9">
        <f>'Raw Data'!S6</f>
        <v/>
      </c>
      <c r="J6" s="10">
        <f>IF('Raw Data'!R6&lt;&gt;"","Discuss: "&amp;'Raw Data'!R6,IF('Raw Data'!C6="SaaS","SaaS growth challenges",IF('Raw Data'!C6="FinTech","Compliance &amp; scale","Efficiency gains")))</f>
        <v/>
      </c>
    </row>
    <row r="7">
      <c r="A7" s="9">
        <f>Processing!A7</f>
        <v/>
      </c>
      <c r="B7" s="9">
        <f>Processing!B7</f>
        <v/>
      </c>
      <c r="C7" s="9">
        <f>Processing!R7</f>
        <v/>
      </c>
      <c r="D7" s="10">
        <f>IF(C7&gt;=Parameters!$B$44,"HOT",IF(C7&gt;=Parameters!$B$45,"WARM",IF(C7&gt;=Parameters!$B$46,"NURTURE","DISQUALIFY")))</f>
        <v/>
      </c>
      <c r="E7" s="10">
        <f>IF('Raw Data'!P7&gt;0,"Call",IF('Raw Data'!O7&gt;0,"Email",IF('Raw Data'!N7&gt;2,"LinkedIn","Cold Email")))</f>
        <v/>
      </c>
      <c r="F7" s="10">
        <f>IF(D7="HOT","Daily",IF(D7="WARM","2x/Week",IF(D7="NURTURE","Monthly","None")))</f>
        <v/>
      </c>
      <c r="G7" s="10">
        <f>IF('Raw Data'!P7=0,"Book intro call",IF('Raw Data'!O7=0,"Send follow-up","Schedule demo"))</f>
        <v/>
      </c>
      <c r="H7" s="10">
        <f>TODAY()-'Raw Data'!Q7</f>
        <v/>
      </c>
      <c r="I7" s="9">
        <f>'Raw Data'!S7</f>
        <v/>
      </c>
      <c r="J7" s="10">
        <f>IF('Raw Data'!R7&lt;&gt;"","Discuss: "&amp;'Raw Data'!R7,IF('Raw Data'!C7="SaaS","SaaS growth challenges",IF('Raw Data'!C7="FinTech","Compliance &amp; scale","Efficiency gains")))</f>
        <v/>
      </c>
    </row>
    <row r="8">
      <c r="A8" s="9">
        <f>Processing!A8</f>
        <v/>
      </c>
      <c r="B8" s="9">
        <f>Processing!B8</f>
        <v/>
      </c>
      <c r="C8" s="9">
        <f>Processing!R8</f>
        <v/>
      </c>
      <c r="D8" s="10">
        <f>IF(C8&gt;=Parameters!$B$44,"HOT",IF(C8&gt;=Parameters!$B$45,"WARM",IF(C8&gt;=Parameters!$B$46,"NURTURE","DISQUALIFY")))</f>
        <v/>
      </c>
      <c r="E8" s="10">
        <f>IF('Raw Data'!P8&gt;0,"Call",IF('Raw Data'!O8&gt;0,"Email",IF('Raw Data'!N8&gt;2,"LinkedIn","Cold Email")))</f>
        <v/>
      </c>
      <c r="F8" s="10">
        <f>IF(D8="HOT","Daily",IF(D8="WARM","2x/Week",IF(D8="NURTURE","Monthly","None")))</f>
        <v/>
      </c>
      <c r="G8" s="10">
        <f>IF('Raw Data'!P8=0,"Book intro call",IF('Raw Data'!O8=0,"Send follow-up","Schedule demo"))</f>
        <v/>
      </c>
      <c r="H8" s="10">
        <f>TODAY()-'Raw Data'!Q8</f>
        <v/>
      </c>
      <c r="I8" s="9">
        <f>'Raw Data'!S8</f>
        <v/>
      </c>
      <c r="J8" s="10">
        <f>IF('Raw Data'!R8&lt;&gt;"","Discuss: "&amp;'Raw Data'!R8,IF('Raw Data'!C8="SaaS","SaaS growth challenges",IF('Raw Data'!C8="FinTech","Compliance &amp; scale","Efficiency gains")))</f>
        <v/>
      </c>
    </row>
    <row r="9">
      <c r="A9" s="9">
        <f>Processing!A9</f>
        <v/>
      </c>
      <c r="B9" s="9">
        <f>Processing!B9</f>
        <v/>
      </c>
      <c r="C9" s="9">
        <f>Processing!R9</f>
        <v/>
      </c>
      <c r="D9" s="10">
        <f>IF(C9&gt;=Parameters!$B$44,"HOT",IF(C9&gt;=Parameters!$B$45,"WARM",IF(C9&gt;=Parameters!$B$46,"NURTURE","DISQUALIFY")))</f>
        <v/>
      </c>
      <c r="E9" s="10">
        <f>IF('Raw Data'!P9&gt;0,"Call",IF('Raw Data'!O9&gt;0,"Email",IF('Raw Data'!N9&gt;2,"LinkedIn","Cold Email")))</f>
        <v/>
      </c>
      <c r="F9" s="10">
        <f>IF(D9="HOT","Daily",IF(D9="WARM","2x/Week",IF(D9="NURTURE","Monthly","None")))</f>
        <v/>
      </c>
      <c r="G9" s="10">
        <f>IF('Raw Data'!P9=0,"Book intro call",IF('Raw Data'!O9=0,"Send follow-up","Schedule demo"))</f>
        <v/>
      </c>
      <c r="H9" s="10">
        <f>TODAY()-'Raw Data'!Q9</f>
        <v/>
      </c>
      <c r="I9" s="9">
        <f>'Raw Data'!S9</f>
        <v/>
      </c>
      <c r="J9" s="10">
        <f>IF('Raw Data'!R9&lt;&gt;"","Discuss: "&amp;'Raw Data'!R9,IF('Raw Data'!C9="SaaS","SaaS growth challenges",IF('Raw Data'!C9="FinTech","Compliance &amp; scale","Efficiency gains")))</f>
        <v/>
      </c>
    </row>
    <row r="10">
      <c r="A10" s="9">
        <f>Processing!A10</f>
        <v/>
      </c>
      <c r="B10" s="9">
        <f>Processing!B10</f>
        <v/>
      </c>
      <c r="C10" s="9">
        <f>Processing!R10</f>
        <v/>
      </c>
      <c r="D10" s="10">
        <f>IF(C10&gt;=Parameters!$B$44,"HOT",IF(C10&gt;=Parameters!$B$45,"WARM",IF(C10&gt;=Parameters!$B$46,"NURTURE","DISQUALIFY")))</f>
        <v/>
      </c>
      <c r="E10" s="10">
        <f>IF('Raw Data'!P10&gt;0,"Call",IF('Raw Data'!O10&gt;0,"Email",IF('Raw Data'!N10&gt;2,"LinkedIn","Cold Email")))</f>
        <v/>
      </c>
      <c r="F10" s="10">
        <f>IF(D10="HOT","Daily",IF(D10="WARM","2x/Week",IF(D10="NURTURE","Monthly","None")))</f>
        <v/>
      </c>
      <c r="G10" s="10">
        <f>IF('Raw Data'!P10=0,"Book intro call",IF('Raw Data'!O10=0,"Send follow-up","Schedule demo"))</f>
        <v/>
      </c>
      <c r="H10" s="10">
        <f>TODAY()-'Raw Data'!Q10</f>
        <v/>
      </c>
      <c r="I10" s="9">
        <f>'Raw Data'!S10</f>
        <v/>
      </c>
      <c r="J10" s="10">
        <f>IF('Raw Data'!R10&lt;&gt;"","Discuss: "&amp;'Raw Data'!R10,IF('Raw Data'!C10="SaaS","SaaS growth challenges",IF('Raw Data'!C10="FinTech","Compliance &amp; scale","Efficiency gains")))</f>
        <v/>
      </c>
    </row>
    <row r="11">
      <c r="A11" s="9">
        <f>Processing!A11</f>
        <v/>
      </c>
      <c r="B11" s="9">
        <f>Processing!B11</f>
        <v/>
      </c>
      <c r="C11" s="9">
        <f>Processing!R11</f>
        <v/>
      </c>
      <c r="D11" s="10">
        <f>IF(C11&gt;=Parameters!$B$44,"HOT",IF(C11&gt;=Parameters!$B$45,"WARM",IF(C11&gt;=Parameters!$B$46,"NURTURE","DISQUALIFY")))</f>
        <v/>
      </c>
      <c r="E11" s="10">
        <f>IF('Raw Data'!P11&gt;0,"Call",IF('Raw Data'!O11&gt;0,"Email",IF('Raw Data'!N11&gt;2,"LinkedIn","Cold Email")))</f>
        <v/>
      </c>
      <c r="F11" s="10">
        <f>IF(D11="HOT","Daily",IF(D11="WARM","2x/Week",IF(D11="NURTURE","Monthly","None")))</f>
        <v/>
      </c>
      <c r="G11" s="10">
        <f>IF('Raw Data'!P11=0,"Book intro call",IF('Raw Data'!O11=0,"Send follow-up","Schedule demo"))</f>
        <v/>
      </c>
      <c r="H11" s="10">
        <f>TODAY()-'Raw Data'!Q11</f>
        <v/>
      </c>
      <c r="I11" s="9">
        <f>'Raw Data'!S11</f>
        <v/>
      </c>
      <c r="J11" s="10">
        <f>IF('Raw Data'!R11&lt;&gt;"","Discuss: "&amp;'Raw Data'!R11,IF('Raw Data'!C11="SaaS","SaaS growth challenges",IF('Raw Data'!C11="FinTech","Compliance &amp; scale","Efficiency gains")))</f>
        <v/>
      </c>
    </row>
    <row r="14">
      <c r="A14" s="11" t="inlineStr">
        <is>
          <t>DASHBOARD METRICS</t>
        </is>
      </c>
    </row>
    <row r="15">
      <c r="A15" s="4" t="inlineStr">
        <is>
          <t>Metric</t>
        </is>
      </c>
      <c r="B15" s="4" t="inlineStr">
        <is>
          <t>Value</t>
        </is>
      </c>
      <c r="C15" s="4" t="inlineStr">
        <is>
          <t>Formula</t>
        </is>
      </c>
    </row>
    <row r="16">
      <c r="A16" s="2" t="inlineStr">
        <is>
          <t>Total Hot Prospects</t>
        </is>
      </c>
      <c r="B16" s="10">
        <f>COUNTIF(D2:D11,"HOT")</f>
        <v/>
      </c>
      <c r="C16" s="2" t="inlineStr"/>
    </row>
    <row r="17">
      <c r="A17" s="2" t="inlineStr">
        <is>
          <t>Total Warm Prospects</t>
        </is>
      </c>
      <c r="B17" s="10">
        <f>COUNTIF(D2:D11,"WARM")</f>
        <v/>
      </c>
      <c r="C17" s="2" t="inlineStr"/>
    </row>
    <row r="18">
      <c r="A18" s="2" t="inlineStr">
        <is>
          <t>Total Nurture</t>
        </is>
      </c>
      <c r="B18" s="10">
        <f>COUNTIF(D2:D11,"NURTURE")</f>
        <v/>
      </c>
      <c r="C18" s="2" t="inlineStr"/>
    </row>
    <row r="19">
      <c r="A19" s="2" t="inlineStr">
        <is>
          <t>Total Disqualified</t>
        </is>
      </c>
      <c r="B19" s="10">
        <f>COUNTIF(D2:D11,"DISQUALIFY")</f>
        <v/>
      </c>
      <c r="C19" s="2" t="inlineStr"/>
    </row>
    <row r="20">
      <c r="A20" s="2" t="inlineStr">
        <is>
          <t>Avg Score (Hot)</t>
        </is>
      </c>
      <c r="B20" s="10">
        <f>AVERAGEIF(D2:D11,"HOT",C2:C11)</f>
        <v/>
      </c>
      <c r="C20" s="2" t="inlineStr"/>
    </row>
    <row r="21">
      <c r="A21" s="2" t="inlineStr">
        <is>
          <t>Avg Days Since Touch</t>
        </is>
      </c>
      <c r="B21" s="10">
        <f>AVERAGE(H2:H11)</f>
        <v/>
      </c>
      <c r="C21" s="2" t="inlineStr"/>
    </row>
    <row r="22">
      <c r="A22" s="2" t="inlineStr">
        <is>
          <t>Stale Hot Prospects (&gt;7 days)</t>
        </is>
      </c>
      <c r="B22" s="10">
        <f>SUMPRODUCT((D2:D11="HOT")*(H2:H11&gt;7))</f>
        <v/>
      </c>
      <c r="C22" s="2" t="inlineStr">
        <is>
          <t>Needs attention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2026-01-15T00:58:18Z</dcterms:created>
  <dcterms:modified xsi:type="dcterms:W3CDTF">2026-01-15T00:58:18Z</dcterms:modified>
</cp:coreProperties>
</file>