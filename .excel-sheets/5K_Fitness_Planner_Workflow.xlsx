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Workout Log" sheetId="2" state="visible" r:id="rId2"/>
    <sheet name="Analysis" sheetId="3" state="visible" r:id="rId3"/>
    <sheet name="Dashboard" sheetId="4" state="visible" r:id="rId4"/>
  </sheets>
  <definedNames>
    <definedName name="TargetPace">Parameters!$B$7</definedName>
    <definedName name="TargetTime">Parameters!$B$5</definedName>
    <definedName name="MaxHR">Parameters!$B$23</definedName>
    <definedName name="RestingHR">Parameters!$B$24</definedName>
    <definedName name="RecoveryPace">Parameters!$B$35</definedName>
    <definedName name="EasyPace">Parameters!$B$36</definedName>
    <definedName name="TempoPace">Parameters!$B$37</definedName>
    <definedName name="IntervalPace">Parameters!$B$38</definedName>
    <definedName name="DailyCalories">Parameters!$B$47</definedName>
    <definedName name="HydrationGoal">Parameters!$B$50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.00;-0.00;0.00"/>
    <numFmt numFmtId="165" formatCode="0.0"/>
    <numFmt numFmtId="166" formatCode="0.1"/>
    <numFmt numFmtId="167" formatCode="+0.0;-0.0;0.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000FF"/>
    </font>
    <font>
      <b val="1"/>
      <sz val="16"/>
    </font>
    <font>
      <b val="1"/>
      <color rgb="00FFFFFF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166" fontId="3" fillId="0" borderId="0" pivotButton="0" quotePrefix="0" xfId="0"/>
    <xf numFmtId="165" fontId="7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35" customWidth="1" min="4" max="4"/>
  </cols>
  <sheetData>
    <row r="1">
      <c r="A1" s="1" t="inlineStr">
        <is>
          <t>5K Training Parameters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s="3" t="inlineStr">
        <is>
          <t>RACE GOALS</t>
        </is>
      </c>
    </row>
    <row r="5">
      <c r="A5" t="inlineStr">
        <is>
          <t>Target Finish Time</t>
        </is>
      </c>
      <c r="B5" s="4" t="n">
        <v>30</v>
      </c>
      <c r="C5" t="inlineStr">
        <is>
          <t>min</t>
        </is>
      </c>
      <c r="D5" t="inlineStr">
        <is>
          <t>Your goal 5K time</t>
        </is>
      </c>
    </row>
    <row r="6">
      <c r="A6" t="inlineStr">
        <is>
          <t>Race Distance</t>
        </is>
      </c>
      <c r="B6" s="4" t="n">
        <v>5</v>
      </c>
      <c r="C6" t="inlineStr">
        <is>
          <t>km</t>
        </is>
      </c>
      <c r="D6" t="inlineStr">
        <is>
          <t>Standard 5K</t>
        </is>
      </c>
    </row>
    <row r="7">
      <c r="A7" t="inlineStr">
        <is>
          <t>Target Pace</t>
        </is>
      </c>
      <c r="B7" s="5">
        <f>B5/B6</f>
        <v/>
      </c>
      <c r="C7" t="inlineStr">
        <is>
          <t>min/km</t>
        </is>
      </c>
      <c r="D7" t="inlineStr">
        <is>
          <t>Calculated from finish time</t>
        </is>
      </c>
    </row>
    <row r="8">
      <c r="A8" t="inlineStr">
        <is>
          <t>Race Date</t>
        </is>
      </c>
      <c r="B8" s="4" t="inlineStr">
        <is>
          <t>2026-04-15</t>
        </is>
      </c>
      <c r="D8" t="inlineStr">
        <is>
          <t>Your target race date</t>
        </is>
      </c>
    </row>
    <row r="9">
      <c r="A9" t="inlineStr">
        <is>
          <t>Training Start Date</t>
        </is>
      </c>
      <c r="B9" s="4" t="inlineStr">
        <is>
          <t>2026-01-20</t>
        </is>
      </c>
      <c r="D9" t="inlineStr">
        <is>
          <t>When you began training</t>
        </is>
      </c>
    </row>
    <row r="11">
      <c r="A11" s="3" t="inlineStr">
        <is>
          <t>TRAINING SCHEDULE</t>
        </is>
      </c>
    </row>
    <row r="12">
      <c r="A12" t="inlineStr">
        <is>
          <t>Training Weeks</t>
        </is>
      </c>
      <c r="B12" s="4" t="n">
        <v>12</v>
      </c>
      <c r="C12" t="inlineStr">
        <is>
          <t>weeks</t>
        </is>
      </c>
      <c r="D12" t="inlineStr">
        <is>
          <t>Total program duration</t>
        </is>
      </c>
    </row>
    <row r="13">
      <c r="A13" t="inlineStr">
        <is>
          <t>Weekly Workout Frequency</t>
        </is>
      </c>
      <c r="B13" s="4" t="n">
        <v>4</v>
      </c>
      <c r="C13" t="inlineStr">
        <is>
          <t>days</t>
        </is>
      </c>
      <c r="D13" t="inlineStr">
        <is>
          <t>Target workouts per week</t>
        </is>
      </c>
    </row>
    <row r="14">
      <c r="A14" t="inlineStr">
        <is>
          <t>Long Run Day</t>
        </is>
      </c>
      <c r="B14" s="4" t="inlineStr">
        <is>
          <t>Sunday</t>
        </is>
      </c>
      <c r="D14" t="inlineStr">
        <is>
          <t>Preferred day for long runs</t>
        </is>
      </c>
    </row>
    <row r="15">
      <c r="A15" t="inlineStr">
        <is>
          <t>Rest Days Per Week</t>
        </is>
      </c>
      <c r="B15" s="4" t="n">
        <v>2</v>
      </c>
      <c r="C15" t="inlineStr">
        <is>
          <t>days</t>
        </is>
      </c>
      <c r="D15" t="inlineStr">
        <is>
          <t>Required recovery days</t>
        </is>
      </c>
    </row>
    <row r="16">
      <c r="A16" t="inlineStr">
        <is>
          <t>Cross-Training Days</t>
        </is>
      </c>
      <c r="B16" s="4" t="n">
        <v>1</v>
      </c>
      <c r="C16" t="inlineStr">
        <is>
          <t>days</t>
        </is>
      </c>
      <c r="D16" t="inlineStr">
        <is>
          <t>Non-running activity days</t>
        </is>
      </c>
    </row>
    <row r="17">
      <c r="A17" t="inlineStr">
        <is>
          <t>Taper Weeks</t>
        </is>
      </c>
      <c r="B17" s="4" t="n">
        <v>2</v>
      </c>
      <c r="C17" t="inlineStr">
        <is>
          <t>weeks</t>
        </is>
      </c>
      <c r="D17" t="inlineStr">
        <is>
          <t>Reduced volume before race</t>
        </is>
      </c>
    </row>
    <row r="19">
      <c r="A19" s="3" t="inlineStr">
        <is>
          <t>FITNESS PROFILE</t>
        </is>
      </c>
    </row>
    <row r="20">
      <c r="A20" t="inlineStr">
        <is>
          <t>Current Fitness Level</t>
        </is>
      </c>
      <c r="B20" s="4" t="inlineStr">
        <is>
          <t>Beginner</t>
        </is>
      </c>
      <c r="D20" t="inlineStr">
        <is>
          <t>Beginner/Intermediate/Advanced</t>
        </is>
      </c>
    </row>
    <row r="21">
      <c r="A21" t="inlineStr">
        <is>
          <t>Max Heart Rate</t>
        </is>
      </c>
      <c r="B21" s="4" t="n">
        <v>185</v>
      </c>
      <c r="C21" t="inlineStr">
        <is>
          <t>bpm</t>
        </is>
      </c>
      <c r="D21" t="inlineStr">
        <is>
          <t>220 - age (or tested)</t>
        </is>
      </c>
    </row>
    <row r="22">
      <c r="A22" t="inlineStr">
        <is>
          <t>Resting Heart Rate</t>
        </is>
      </c>
      <c r="B22" s="4" t="n">
        <v>65</v>
      </c>
      <c r="C22" t="inlineStr">
        <is>
          <t>bpm</t>
        </is>
      </c>
      <c r="D22" t="inlineStr">
        <is>
          <t>Measured in morning</t>
        </is>
      </c>
    </row>
    <row r="23">
      <c r="A23" t="inlineStr">
        <is>
          <t>Starting Weight</t>
        </is>
      </c>
      <c r="B23" s="4" t="n">
        <v>75</v>
      </c>
      <c r="C23" t="inlineStr">
        <is>
          <t>kg</t>
        </is>
      </c>
      <c r="D23" t="inlineStr">
        <is>
          <t>Weight at training start</t>
        </is>
      </c>
    </row>
    <row r="24">
      <c r="A24" t="inlineStr">
        <is>
          <t>Target Weight</t>
        </is>
      </c>
      <c r="B24" s="4" t="n">
        <v>72</v>
      </c>
      <c r="C24" t="inlineStr">
        <is>
          <t>kg</t>
        </is>
      </c>
      <c r="D24" t="inlineStr">
        <is>
          <t>Goal weight by race day</t>
        </is>
      </c>
    </row>
    <row r="25">
      <c r="A25" t="inlineStr">
        <is>
          <t>Starting Body Fat %</t>
        </is>
      </c>
      <c r="B25" s="4" t="n">
        <v>22</v>
      </c>
      <c r="C25" t="inlineStr">
        <is>
          <t>%</t>
        </is>
      </c>
      <c r="D25" t="inlineStr">
        <is>
          <t>If known</t>
        </is>
      </c>
    </row>
    <row r="27">
      <c r="A27" s="3" t="inlineStr">
        <is>
          <t>PACE ZONES (min/km)</t>
        </is>
      </c>
    </row>
    <row r="28">
      <c r="A28" t="inlineStr">
        <is>
          <t>Recovery Pace</t>
        </is>
      </c>
      <c r="B28" s="5">
        <f>B7+1.5</f>
        <v/>
      </c>
      <c r="C28" t="inlineStr">
        <is>
          <t>min/km</t>
        </is>
      </c>
      <c r="D28" t="inlineStr">
        <is>
          <t>Very easy, conversational</t>
        </is>
      </c>
    </row>
    <row r="29">
      <c r="A29" t="inlineStr">
        <is>
          <t>Easy Pace</t>
        </is>
      </c>
      <c r="B29" s="5">
        <f>B7+1</f>
        <v/>
      </c>
      <c r="C29" t="inlineStr">
        <is>
          <t>min/km</t>
        </is>
      </c>
      <c r="D29" t="inlineStr">
        <is>
          <t>Comfortable aerobic</t>
        </is>
      </c>
    </row>
    <row r="30">
      <c r="A30" t="inlineStr">
        <is>
          <t>Tempo Pace</t>
        </is>
      </c>
      <c r="B30" s="5">
        <f>B7</f>
        <v/>
      </c>
      <c r="C30" t="inlineStr">
        <is>
          <t>min/km</t>
        </is>
      </c>
      <c r="D30" t="inlineStr">
        <is>
          <t>Race pace effort</t>
        </is>
      </c>
    </row>
    <row r="31">
      <c r="A31" t="inlineStr">
        <is>
          <t>Interval Pace</t>
        </is>
      </c>
      <c r="B31" s="5">
        <f>B7-0.5</f>
        <v/>
      </c>
      <c r="C31" t="inlineStr">
        <is>
          <t>min/km</t>
        </is>
      </c>
      <c r="D31" t="inlineStr">
        <is>
          <t>Fast, controlled</t>
        </is>
      </c>
    </row>
    <row r="32">
      <c r="A32" t="inlineStr">
        <is>
          <t>Sprint Pace</t>
        </is>
      </c>
      <c r="B32" s="5">
        <f>B7-1</f>
        <v/>
      </c>
      <c r="C32" t="inlineStr">
        <is>
          <t>min/km</t>
        </is>
      </c>
      <c r="D32" t="inlineStr">
        <is>
          <t>Maximum effort</t>
        </is>
      </c>
    </row>
    <row r="34">
      <c r="A34" s="3" t="inlineStr">
        <is>
          <t>HEART RATE ZONES (bpm)</t>
        </is>
      </c>
    </row>
    <row r="35">
      <c r="A35" t="inlineStr">
        <is>
          <t>HR Zone 1 (Recovery)</t>
        </is>
      </c>
      <c r="B35" s="6">
        <f>B23*0.6</f>
        <v/>
      </c>
      <c r="C35" t="inlineStr">
        <is>
          <t>bpm</t>
        </is>
      </c>
      <c r="D35" t="inlineStr">
        <is>
          <t>50-60% max HR</t>
        </is>
      </c>
    </row>
    <row r="36">
      <c r="A36" t="inlineStr">
        <is>
          <t>HR Zone 2 (Easy)</t>
        </is>
      </c>
      <c r="B36" s="6">
        <f>B23*0.7</f>
        <v/>
      </c>
      <c r="C36" t="inlineStr">
        <is>
          <t>bpm</t>
        </is>
      </c>
      <c r="D36" t="inlineStr">
        <is>
          <t>60-70% max HR</t>
        </is>
      </c>
    </row>
    <row r="37">
      <c r="A37" t="inlineStr">
        <is>
          <t>HR Zone 3 (Aerobic)</t>
        </is>
      </c>
      <c r="B37" s="6">
        <f>B23*0.8</f>
        <v/>
      </c>
      <c r="C37" t="inlineStr">
        <is>
          <t>bpm</t>
        </is>
      </c>
      <c r="D37" t="inlineStr">
        <is>
          <t>70-80% max HR</t>
        </is>
      </c>
    </row>
    <row r="38">
      <c r="A38" t="inlineStr">
        <is>
          <t>HR Zone 4 (Threshold)</t>
        </is>
      </c>
      <c r="B38" s="6">
        <f>B23*0.9</f>
        <v/>
      </c>
      <c r="C38" t="inlineStr">
        <is>
          <t>bpm</t>
        </is>
      </c>
      <c r="D38" t="inlineStr">
        <is>
          <t>80-90% max HR</t>
        </is>
      </c>
    </row>
    <row r="39">
      <c r="A39" t="inlineStr">
        <is>
          <t>HR Zone 5 (Max)</t>
        </is>
      </c>
      <c r="B39" s="6">
        <f>B23*0.95</f>
        <v/>
      </c>
      <c r="C39" t="inlineStr">
        <is>
          <t>bpm</t>
        </is>
      </c>
      <c r="D39" t="inlineStr">
        <is>
          <t>90-100% max HR</t>
        </is>
      </c>
    </row>
    <row r="41">
      <c r="A41" s="3" t="inlineStr">
        <is>
          <t>NUTRITION TARGETS</t>
        </is>
      </c>
    </row>
    <row r="42">
      <c r="A42" t="inlineStr">
        <is>
          <t>Daily Calories</t>
        </is>
      </c>
      <c r="B42" s="4" t="n">
        <v>2200</v>
      </c>
      <c r="C42" t="inlineStr">
        <is>
          <t>kcal</t>
        </is>
      </c>
      <c r="D42" t="inlineStr">
        <is>
          <t>Target daily intake</t>
        </is>
      </c>
    </row>
    <row r="43">
      <c r="A43" t="inlineStr">
        <is>
          <t>Protein Target</t>
        </is>
      </c>
      <c r="B43" s="4" t="n">
        <v>120</v>
      </c>
      <c r="C43" t="inlineStr">
        <is>
          <t>g</t>
        </is>
      </c>
      <c r="D43" t="inlineStr">
        <is>
          <t>For muscle recovery</t>
        </is>
      </c>
    </row>
    <row r="44">
      <c r="A44" t="inlineStr">
        <is>
          <t>Carb Target</t>
        </is>
      </c>
      <c r="B44" s="4" t="n">
        <v>250</v>
      </c>
      <c r="C44" t="inlineStr">
        <is>
          <t>g</t>
        </is>
      </c>
      <c r="D44" t="inlineStr">
        <is>
          <t>Fuel for runs</t>
        </is>
      </c>
    </row>
    <row r="45">
      <c r="A45" t="inlineStr">
        <is>
          <t>Daily Hydration</t>
        </is>
      </c>
      <c r="B45" s="4" t="n">
        <v>3</v>
      </c>
      <c r="C45" t="inlineStr">
        <is>
          <t>L</t>
        </is>
      </c>
      <c r="D45" t="inlineStr">
        <is>
          <t>Water intake goal</t>
        </is>
      </c>
    </row>
    <row r="46">
      <c r="A46" t="inlineStr">
        <is>
          <t>Pre-Run Meal (hrs before)</t>
        </is>
      </c>
      <c r="B46" s="4" t="n">
        <v>2</v>
      </c>
      <c r="C46" t="inlineStr">
        <is>
          <t>hrs</t>
        </is>
      </c>
      <c r="D46" t="inlineStr">
        <is>
          <t>Eating window before run</t>
        </is>
      </c>
    </row>
  </sheetData>
  <mergeCells count="7">
    <mergeCell ref="A27:D27"/>
    <mergeCell ref="A34:D34"/>
    <mergeCell ref="A4:D4"/>
    <mergeCell ref="A41:D41"/>
    <mergeCell ref="A19:D19"/>
    <mergeCell ref="A11:D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0" customWidth="1" min="20" max="20"/>
    <col width="12" customWidth="1" min="21" max="21"/>
    <col width="12" customWidth="1" min="22" max="22"/>
    <col width="10" customWidth="1" min="23" max="23"/>
    <col width="25" customWidth="1" min="24" max="24"/>
  </cols>
  <sheetData>
    <row r="1">
      <c r="A1" s="1" t="inlineStr">
        <is>
          <t>Workout Log - Raw Data Entry (3 Months)</t>
        </is>
      </c>
    </row>
    <row r="3">
      <c r="A3" s="7" t="inlineStr">
        <is>
          <t>Date</t>
        </is>
      </c>
      <c r="B3" s="7" t="inlineStr">
        <is>
          <t>Week</t>
        </is>
      </c>
      <c r="C3" s="7" t="inlineStr">
        <is>
          <t>Day</t>
        </is>
      </c>
      <c r="D3" s="7" t="inlineStr">
        <is>
          <t>Workout Type</t>
        </is>
      </c>
      <c r="E3" s="7" t="inlineStr">
        <is>
          <t>Distance (km)</t>
        </is>
      </c>
      <c r="F3" s="7" t="inlineStr">
        <is>
          <t>Time (min)</t>
        </is>
      </c>
      <c r="G3" s="7" t="inlineStr">
        <is>
          <t>Avg HR (bpm)</t>
        </is>
      </c>
      <c r="H3" s="7" t="inlineStr">
        <is>
          <t>Max HR (bpm)</t>
        </is>
      </c>
      <c r="I3" s="7" t="inlineStr">
        <is>
          <t>RPE (1-10)</t>
        </is>
      </c>
      <c r="J3" s="7" t="inlineStr">
        <is>
          <t>Weather</t>
        </is>
      </c>
      <c r="K3" s="7" t="inlineStr">
        <is>
          <t>Temp (C)</t>
        </is>
      </c>
      <c r="L3" s="7" t="inlineStr">
        <is>
          <t>Terrain</t>
        </is>
      </c>
      <c r="M3" s="7" t="inlineStr">
        <is>
          <t>Elevation (m)</t>
        </is>
      </c>
      <c r="N3" s="7" t="inlineStr">
        <is>
          <t>Calories Burned</t>
        </is>
      </c>
      <c r="O3" s="7" t="inlineStr">
        <is>
          <t>Warm-up (min)</t>
        </is>
      </c>
      <c r="P3" s="7" t="inlineStr">
        <is>
          <t>Cool-down (min)</t>
        </is>
      </c>
      <c r="Q3" s="7" t="inlineStr">
        <is>
          <t>Stretching (min)</t>
        </is>
      </c>
      <c r="R3" s="7" t="inlineStr">
        <is>
          <t>Sleep Last Night (hrs)</t>
        </is>
      </c>
      <c r="S3" s="7" t="inlineStr">
        <is>
          <t>Resting HR (bpm)</t>
        </is>
      </c>
      <c r="T3" s="7" t="inlineStr">
        <is>
          <t>Weight (kg)</t>
        </is>
      </c>
      <c r="U3" s="7" t="inlineStr">
        <is>
          <t>Hydration (L)</t>
        </is>
      </c>
      <c r="V3" s="7" t="inlineStr">
        <is>
          <t>Calories Eaten</t>
        </is>
      </c>
      <c r="W3" s="7" t="inlineStr">
        <is>
          <t>Protein (g)</t>
        </is>
      </c>
      <c r="X3" s="7" t="inlineStr">
        <is>
          <t>Notes</t>
        </is>
      </c>
    </row>
    <row r="4">
      <c r="A4" t="inlineStr">
        <is>
          <t>2026-01-21</t>
        </is>
      </c>
      <c r="B4" t="n">
        <v>1</v>
      </c>
      <c r="C4" t="n">
        <v>3</v>
      </c>
      <c r="D4" t="inlineStr">
        <is>
          <t>Tempo</t>
        </is>
      </c>
      <c r="E4" t="n">
        <v>4.2</v>
      </c>
      <c r="F4" t="n">
        <v>27</v>
      </c>
      <c r="G4" t="n">
        <v>156</v>
      </c>
      <c r="H4" t="n">
        <v>167</v>
      </c>
      <c r="I4" t="n">
        <v>8</v>
      </c>
      <c r="J4" t="inlineStr">
        <is>
          <t>Sunny</t>
        </is>
      </c>
      <c r="K4" t="n">
        <v>5</v>
      </c>
      <c r="L4" t="inlineStr">
        <is>
          <t>Flat</t>
        </is>
      </c>
      <c r="M4" t="n">
        <v>11</v>
      </c>
      <c r="N4" t="n">
        <v>354</v>
      </c>
      <c r="O4" t="n">
        <v>6</v>
      </c>
      <c r="P4" t="n">
        <v>9</v>
      </c>
      <c r="Q4" t="n">
        <v>14</v>
      </c>
      <c r="R4" t="n">
        <v>6.1</v>
      </c>
      <c r="S4" t="n">
        <v>62</v>
      </c>
      <c r="T4" t="n">
        <v>75.2</v>
      </c>
      <c r="U4" t="n">
        <v>3.1</v>
      </c>
      <c r="V4" t="n">
        <v>2329</v>
      </c>
      <c r="W4" t="n">
        <v>104</v>
      </c>
      <c r="X4" t="inlineStr">
        <is>
          <t>Hot day</t>
        </is>
      </c>
    </row>
    <row r="5">
      <c r="A5" t="inlineStr">
        <is>
          <t>2026-01-22</t>
        </is>
      </c>
      <c r="B5" t="n">
        <v>1</v>
      </c>
      <c r="C5" t="n">
        <v>4</v>
      </c>
      <c r="D5" t="inlineStr">
        <is>
          <t>Cross-Train</t>
        </is>
      </c>
      <c r="E5" t="n">
        <v>0</v>
      </c>
      <c r="F5" t="n">
        <v>35</v>
      </c>
      <c r="G5" t="n">
        <v>138</v>
      </c>
      <c r="H5" t="n">
        <v>148</v>
      </c>
      <c r="I5" t="n">
        <v>4</v>
      </c>
      <c r="J5" t="inlineStr">
        <is>
          <t>Windy</t>
        </is>
      </c>
      <c r="K5" t="n">
        <v>8</v>
      </c>
      <c r="L5" t="inlineStr">
        <is>
          <t>Trail</t>
        </is>
      </c>
      <c r="M5" t="n">
        <v>108</v>
      </c>
      <c r="N5" t="n">
        <v>210</v>
      </c>
      <c r="O5" t="n">
        <v>9</v>
      </c>
      <c r="P5" t="n">
        <v>7</v>
      </c>
      <c r="Q5" t="n">
        <v>5</v>
      </c>
      <c r="R5" t="n">
        <v>8.199999999999999</v>
      </c>
      <c r="S5" t="n">
        <v>65</v>
      </c>
      <c r="T5" t="n">
        <v>74.59999999999999</v>
      </c>
      <c r="U5" t="n">
        <v>3.4</v>
      </c>
      <c r="V5" t="n">
        <v>1980</v>
      </c>
      <c r="W5" t="n">
        <v>125</v>
      </c>
      <c r="X5" t="inlineStr">
        <is>
          <t>New route</t>
        </is>
      </c>
    </row>
    <row r="6">
      <c r="A6" t="inlineStr">
        <is>
          <t>2026-01-24</t>
        </is>
      </c>
      <c r="B6" t="n">
        <v>1</v>
      </c>
      <c r="C6" t="n">
        <v>6</v>
      </c>
      <c r="D6" t="inlineStr">
        <is>
          <t>Easy</t>
        </is>
      </c>
      <c r="E6" t="n">
        <v>4.2</v>
      </c>
      <c r="F6" t="n">
        <v>33</v>
      </c>
      <c r="G6" t="n">
        <v>142</v>
      </c>
      <c r="H6" t="n">
        <v>151</v>
      </c>
      <c r="I6" t="n">
        <v>3</v>
      </c>
      <c r="J6" t="inlineStr">
        <is>
          <t>Sunny</t>
        </is>
      </c>
      <c r="K6" t="n">
        <v>17</v>
      </c>
      <c r="L6" t="inlineStr">
        <is>
          <t>Trail</t>
        </is>
      </c>
      <c r="M6" t="n">
        <v>136</v>
      </c>
      <c r="N6" t="n">
        <v>372</v>
      </c>
      <c r="O6" t="n">
        <v>10</v>
      </c>
      <c r="P6" t="n">
        <v>7</v>
      </c>
      <c r="Q6" t="n">
        <v>7</v>
      </c>
      <c r="R6" t="n">
        <v>7.1</v>
      </c>
      <c r="S6" t="n">
        <v>62</v>
      </c>
      <c r="T6" t="n">
        <v>75.09999999999999</v>
      </c>
      <c r="U6" t="n">
        <v>3.1</v>
      </c>
      <c r="V6" t="n">
        <v>1973</v>
      </c>
      <c r="W6" t="n">
        <v>128</v>
      </c>
      <c r="X6" t="inlineStr">
        <is>
          <t>Good pace</t>
        </is>
      </c>
    </row>
    <row r="7">
      <c r="A7" t="inlineStr">
        <is>
          <t>2026-01-25</t>
        </is>
      </c>
      <c r="B7" t="n">
        <v>1</v>
      </c>
      <c r="C7" t="n">
        <v>7</v>
      </c>
      <c r="D7" t="inlineStr">
        <is>
          <t>Long</t>
        </is>
      </c>
      <c r="E7" t="n">
        <v>5</v>
      </c>
      <c r="F7" t="n">
        <v>38</v>
      </c>
      <c r="G7" t="n">
        <v>144</v>
      </c>
      <c r="H7" t="n">
        <v>155</v>
      </c>
      <c r="I7" t="n">
        <v>5</v>
      </c>
      <c r="J7" t="inlineStr">
        <is>
          <t>Windy</t>
        </is>
      </c>
      <c r="K7" t="n">
        <v>13</v>
      </c>
      <c r="L7" t="inlineStr">
        <is>
          <t>Flat</t>
        </is>
      </c>
      <c r="M7" t="n">
        <v>11</v>
      </c>
      <c r="N7" t="n">
        <v>439</v>
      </c>
      <c r="O7" t="n">
        <v>9</v>
      </c>
      <c r="P7" t="n">
        <v>10</v>
      </c>
      <c r="Q7" t="n">
        <v>10</v>
      </c>
      <c r="R7" t="n">
        <v>6.6</v>
      </c>
      <c r="S7" t="n">
        <v>64</v>
      </c>
      <c r="T7" t="n">
        <v>74.8</v>
      </c>
      <c r="U7" t="n">
        <v>3.4</v>
      </c>
      <c r="V7" t="n">
        <v>2369</v>
      </c>
      <c r="W7" t="n">
        <v>99</v>
      </c>
      <c r="X7" t="inlineStr">
        <is>
          <t>Steady throughout</t>
        </is>
      </c>
    </row>
    <row r="8">
      <c r="A8" t="inlineStr">
        <is>
          <t>2026-01-28</t>
        </is>
      </c>
      <c r="B8" t="n">
        <v>2</v>
      </c>
      <c r="C8" t="n">
        <v>3</v>
      </c>
      <c r="D8" t="inlineStr">
        <is>
          <t>Intervals</t>
        </is>
      </c>
      <c r="E8" t="n">
        <v>4.2</v>
      </c>
      <c r="F8" t="n">
        <v>27</v>
      </c>
      <c r="G8" t="n">
        <v>176</v>
      </c>
      <c r="H8" t="n">
        <v>196</v>
      </c>
      <c r="I8" t="n">
        <v>8</v>
      </c>
      <c r="J8" t="inlineStr">
        <is>
          <t>Sunny</t>
        </is>
      </c>
      <c r="K8" t="n">
        <v>9</v>
      </c>
      <c r="L8" t="inlineStr">
        <is>
          <t>Mixed</t>
        </is>
      </c>
      <c r="M8" t="n">
        <v>10</v>
      </c>
      <c r="N8" t="n">
        <v>354</v>
      </c>
      <c r="O8" t="n">
        <v>10</v>
      </c>
      <c r="P8" t="n">
        <v>8</v>
      </c>
      <c r="Q8" t="n">
        <v>14</v>
      </c>
      <c r="R8" t="n">
        <v>6.2</v>
      </c>
      <c r="S8" t="n">
        <v>64</v>
      </c>
      <c r="T8" t="n">
        <v>74.90000000000001</v>
      </c>
      <c r="U8" t="n">
        <v>2.7</v>
      </c>
      <c r="V8" t="n">
        <v>2157</v>
      </c>
      <c r="W8" t="n">
        <v>125</v>
      </c>
      <c r="X8" t="inlineStr">
        <is>
          <t>Felt strong</t>
        </is>
      </c>
    </row>
    <row r="9">
      <c r="A9" t="inlineStr">
        <is>
          <t>2026-01-29</t>
        </is>
      </c>
      <c r="B9" t="n">
        <v>2</v>
      </c>
      <c r="C9" t="n">
        <v>4</v>
      </c>
      <c r="D9" t="inlineStr">
        <is>
          <t>Cross-Train</t>
        </is>
      </c>
      <c r="E9" t="n">
        <v>0</v>
      </c>
      <c r="F9" t="n">
        <v>38</v>
      </c>
      <c r="G9" t="n">
        <v>145</v>
      </c>
      <c r="H9" t="n">
        <v>155</v>
      </c>
      <c r="I9" t="n">
        <v>4</v>
      </c>
      <c r="J9" t="inlineStr">
        <is>
          <t>Hot</t>
        </is>
      </c>
      <c r="K9" t="n">
        <v>30</v>
      </c>
      <c r="L9" t="inlineStr">
        <is>
          <t>Treadmill</t>
        </is>
      </c>
      <c r="M9" t="n">
        <v>29</v>
      </c>
      <c r="N9" t="n">
        <v>228</v>
      </c>
      <c r="O9" t="n">
        <v>6</v>
      </c>
      <c r="P9" t="n">
        <v>9</v>
      </c>
      <c r="Q9" t="n">
        <v>6</v>
      </c>
      <c r="R9" t="n">
        <v>8.6</v>
      </c>
      <c r="S9" t="n">
        <v>63</v>
      </c>
      <c r="T9" t="n">
        <v>75.09999999999999</v>
      </c>
      <c r="U9" t="n">
        <v>2.8</v>
      </c>
      <c r="V9" t="n">
        <v>2103</v>
      </c>
      <c r="W9" t="n">
        <v>99</v>
      </c>
      <c r="X9" t="inlineStr">
        <is>
          <t>Hill repeats</t>
        </is>
      </c>
    </row>
    <row r="10">
      <c r="A10" t="inlineStr">
        <is>
          <t>2026-01-31</t>
        </is>
      </c>
      <c r="B10" t="n">
        <v>2</v>
      </c>
      <c r="C10" t="n">
        <v>6</v>
      </c>
      <c r="D10" t="inlineStr">
        <is>
          <t>Easy</t>
        </is>
      </c>
      <c r="E10" t="n">
        <v>4.1</v>
      </c>
      <c r="F10" t="n">
        <v>32</v>
      </c>
      <c r="G10" t="n">
        <v>152</v>
      </c>
      <c r="H10" t="n">
        <v>160</v>
      </c>
      <c r="I10" t="n">
        <v>5</v>
      </c>
      <c r="J10" t="inlineStr">
        <is>
          <t>Rainy</t>
        </is>
      </c>
      <c r="K10" t="n">
        <v>12</v>
      </c>
      <c r="L10" t="inlineStr">
        <is>
          <t>Flat</t>
        </is>
      </c>
      <c r="M10" t="n">
        <v>12</v>
      </c>
      <c r="N10" t="n">
        <v>362</v>
      </c>
      <c r="O10" t="n">
        <v>9</v>
      </c>
      <c r="P10" t="n">
        <v>5</v>
      </c>
      <c r="Q10" t="n">
        <v>6</v>
      </c>
      <c r="R10" t="n">
        <v>8.199999999999999</v>
      </c>
      <c r="S10" t="n">
        <v>67</v>
      </c>
      <c r="T10" t="n">
        <v>74.3</v>
      </c>
      <c r="U10" t="n">
        <v>3.1</v>
      </c>
      <c r="V10" t="n">
        <v>2028</v>
      </c>
      <c r="W10" t="n">
        <v>98</v>
      </c>
      <c r="X10" t="inlineStr">
        <is>
          <t>Cold morning</t>
        </is>
      </c>
    </row>
    <row r="11">
      <c r="A11" t="inlineStr">
        <is>
          <t>2026-02-01</t>
        </is>
      </c>
      <c r="B11" t="n">
        <v>2</v>
      </c>
      <c r="C11" t="n">
        <v>7</v>
      </c>
      <c r="D11" t="inlineStr">
        <is>
          <t>Long</t>
        </is>
      </c>
      <c r="E11" t="n">
        <v>5.3</v>
      </c>
      <c r="F11" t="n">
        <v>40</v>
      </c>
      <c r="G11" t="n">
        <v>149</v>
      </c>
      <c r="H11" t="n">
        <v>160</v>
      </c>
      <c r="I11" t="n">
        <v>7</v>
      </c>
      <c r="J11" t="inlineStr">
        <is>
          <t>Windy</t>
        </is>
      </c>
      <c r="K11" t="n">
        <v>25</v>
      </c>
      <c r="L11" t="inlineStr">
        <is>
          <t>Trail</t>
        </is>
      </c>
      <c r="M11" t="n">
        <v>132</v>
      </c>
      <c r="N11" t="n">
        <v>464</v>
      </c>
      <c r="O11" t="n">
        <v>9</v>
      </c>
      <c r="P11" t="n">
        <v>8</v>
      </c>
      <c r="Q11" t="n">
        <v>6</v>
      </c>
      <c r="R11" t="n">
        <v>6.7</v>
      </c>
      <c r="S11" t="n">
        <v>61</v>
      </c>
      <c r="T11" t="n">
        <v>74.59999999999999</v>
      </c>
      <c r="U11" t="n">
        <v>2.9</v>
      </c>
      <c r="V11" t="n">
        <v>2135</v>
      </c>
      <c r="W11" t="n">
        <v>127</v>
      </c>
      <c r="X11" t="inlineStr">
        <is>
          <t>Strong finish</t>
        </is>
      </c>
    </row>
    <row r="12">
      <c r="A12" t="inlineStr">
        <is>
          <t>2026-02-04</t>
        </is>
      </c>
      <c r="B12" t="n">
        <v>3</v>
      </c>
      <c r="C12" t="n">
        <v>3</v>
      </c>
      <c r="D12" t="inlineStr">
        <is>
          <t>Tempo</t>
        </is>
      </c>
      <c r="E12" t="n">
        <v>3.7</v>
      </c>
      <c r="F12" t="n">
        <v>25</v>
      </c>
      <c r="G12" t="n">
        <v>166</v>
      </c>
      <c r="H12" t="n">
        <v>181</v>
      </c>
      <c r="I12" t="n">
        <v>6</v>
      </c>
      <c r="J12" t="inlineStr">
        <is>
          <t>Cloudy</t>
        </is>
      </c>
      <c r="K12" t="n">
        <v>22</v>
      </c>
      <c r="L12" t="inlineStr">
        <is>
          <t>Hilly</t>
        </is>
      </c>
      <c r="M12" t="n">
        <v>141</v>
      </c>
      <c r="N12" t="n">
        <v>315</v>
      </c>
      <c r="O12" t="n">
        <v>6</v>
      </c>
      <c r="P12" t="n">
        <v>8</v>
      </c>
      <c r="Q12" t="n">
        <v>11</v>
      </c>
      <c r="R12" t="n">
        <v>6.6</v>
      </c>
      <c r="S12" t="n">
        <v>61</v>
      </c>
      <c r="T12" t="n">
        <v>74.8</v>
      </c>
      <c r="U12" t="n">
        <v>2.5</v>
      </c>
      <c r="V12" t="n">
        <v>2320</v>
      </c>
      <c r="W12" t="n">
        <v>119</v>
      </c>
      <c r="X12" t="inlineStr">
        <is>
          <t>Tired legs</t>
        </is>
      </c>
    </row>
    <row r="13">
      <c r="A13" t="inlineStr">
        <is>
          <t>2026-02-05</t>
        </is>
      </c>
      <c r="B13" t="n">
        <v>3</v>
      </c>
      <c r="C13" t="n">
        <v>4</v>
      </c>
      <c r="D13" t="inlineStr">
        <is>
          <t>Cross-Train</t>
        </is>
      </c>
      <c r="E13" t="n">
        <v>0</v>
      </c>
      <c r="F13" t="n">
        <v>31</v>
      </c>
      <c r="G13" t="n">
        <v>137</v>
      </c>
      <c r="H13" t="n">
        <v>147</v>
      </c>
      <c r="I13" t="n">
        <v>5</v>
      </c>
      <c r="J13" t="inlineStr">
        <is>
          <t>Cloudy</t>
        </is>
      </c>
      <c r="K13" t="n">
        <v>18</v>
      </c>
      <c r="L13" t="inlineStr">
        <is>
          <t>Hilly</t>
        </is>
      </c>
      <c r="M13" t="n">
        <v>91</v>
      </c>
      <c r="N13" t="n">
        <v>186</v>
      </c>
      <c r="O13" t="n">
        <v>8</v>
      </c>
      <c r="P13" t="n">
        <v>6</v>
      </c>
      <c r="Q13" t="n">
        <v>6</v>
      </c>
      <c r="R13" t="n">
        <v>7.3</v>
      </c>
      <c r="S13" t="n">
        <v>67</v>
      </c>
      <c r="T13" t="n">
        <v>75</v>
      </c>
      <c r="U13" t="n">
        <v>2.1</v>
      </c>
      <c r="V13" t="n">
        <v>2453</v>
      </c>
      <c r="W13" t="n">
        <v>90</v>
      </c>
      <c r="X13" t="inlineStr">
        <is>
          <t>Great weather</t>
        </is>
      </c>
    </row>
    <row r="14">
      <c r="A14" t="inlineStr">
        <is>
          <t>2026-02-07</t>
        </is>
      </c>
      <c r="B14" t="n">
        <v>3</v>
      </c>
      <c r="C14" t="n">
        <v>6</v>
      </c>
      <c r="D14" t="inlineStr">
        <is>
          <t>Easy</t>
        </is>
      </c>
      <c r="E14" t="n">
        <v>4.7</v>
      </c>
      <c r="F14" t="n">
        <v>35</v>
      </c>
      <c r="G14" t="n">
        <v>150</v>
      </c>
      <c r="H14" t="n">
        <v>165</v>
      </c>
      <c r="I14" t="n">
        <v>3</v>
      </c>
      <c r="J14" t="inlineStr">
        <is>
          <t>Windy</t>
        </is>
      </c>
      <c r="K14" t="n">
        <v>13</v>
      </c>
      <c r="L14" t="inlineStr">
        <is>
          <t>Track</t>
        </is>
      </c>
      <c r="M14" t="n">
        <v>14</v>
      </c>
      <c r="N14" t="n">
        <v>410</v>
      </c>
      <c r="O14" t="n">
        <v>8</v>
      </c>
      <c r="P14" t="n">
        <v>10</v>
      </c>
      <c r="Q14" t="n">
        <v>13</v>
      </c>
      <c r="R14" t="n">
        <v>8</v>
      </c>
      <c r="S14" t="n">
        <v>64</v>
      </c>
      <c r="T14" t="n">
        <v>74.3</v>
      </c>
      <c r="U14" t="n">
        <v>2.4</v>
      </c>
      <c r="V14" t="n">
        <v>1959</v>
      </c>
      <c r="W14" t="n">
        <v>127</v>
      </c>
      <c r="X14" t="inlineStr">
        <is>
          <t>Perfect conditions</t>
        </is>
      </c>
    </row>
    <row r="15">
      <c r="A15" t="inlineStr">
        <is>
          <t>2026-02-09</t>
        </is>
      </c>
      <c r="B15" t="n">
        <v>3</v>
      </c>
      <c r="C15" t="n">
        <v>1</v>
      </c>
      <c r="D15" t="inlineStr">
        <is>
          <t>Easy</t>
        </is>
      </c>
      <c r="E15" t="n">
        <v>3.1</v>
      </c>
      <c r="F15" t="n">
        <v>23</v>
      </c>
      <c r="G15" t="n">
        <v>151</v>
      </c>
      <c r="H15" t="n">
        <v>161</v>
      </c>
      <c r="I15" t="n">
        <v>3</v>
      </c>
      <c r="J15" t="inlineStr">
        <is>
          <t>Sunny</t>
        </is>
      </c>
      <c r="K15" t="n">
        <v>12</v>
      </c>
      <c r="L15" t="inlineStr">
        <is>
          <t>Track</t>
        </is>
      </c>
      <c r="M15" t="n">
        <v>8</v>
      </c>
      <c r="N15" t="n">
        <v>270</v>
      </c>
      <c r="O15" t="n">
        <v>9</v>
      </c>
      <c r="P15" t="n">
        <v>6</v>
      </c>
      <c r="Q15" t="n">
        <v>14</v>
      </c>
      <c r="R15" t="n">
        <v>7.8</v>
      </c>
      <c r="S15" t="n">
        <v>65</v>
      </c>
      <c r="T15" t="n">
        <v>74.09999999999999</v>
      </c>
      <c r="U15" t="n">
        <v>3</v>
      </c>
      <c r="V15" t="n">
        <v>2478</v>
      </c>
      <c r="W15" t="n">
        <v>123</v>
      </c>
      <c r="X15" t="inlineStr">
        <is>
          <t>Track session</t>
        </is>
      </c>
    </row>
    <row r="16">
      <c r="A16" t="inlineStr">
        <is>
          <t>2026-02-11</t>
        </is>
      </c>
      <c r="B16" t="n">
        <v>4</v>
      </c>
      <c r="C16" t="n">
        <v>3</v>
      </c>
      <c r="D16" t="inlineStr">
        <is>
          <t>Tempo</t>
        </is>
      </c>
      <c r="E16" t="n">
        <v>4.2</v>
      </c>
      <c r="F16" t="n">
        <v>27</v>
      </c>
      <c r="G16" t="n">
        <v>157</v>
      </c>
      <c r="H16" t="n">
        <v>173</v>
      </c>
      <c r="I16" t="n">
        <v>8</v>
      </c>
      <c r="J16" t="inlineStr">
        <is>
          <t>Sunny</t>
        </is>
      </c>
      <c r="K16" t="n">
        <v>5</v>
      </c>
      <c r="L16" t="inlineStr">
        <is>
          <t>Track</t>
        </is>
      </c>
      <c r="M16" t="n">
        <v>24</v>
      </c>
      <c r="N16" t="n">
        <v>354</v>
      </c>
      <c r="O16" t="n">
        <v>9</v>
      </c>
      <c r="P16" t="n">
        <v>5</v>
      </c>
      <c r="Q16" t="n">
        <v>6</v>
      </c>
      <c r="R16" t="n">
        <v>7.6</v>
      </c>
      <c r="S16" t="n">
        <v>65</v>
      </c>
      <c r="T16" t="n">
        <v>74.3</v>
      </c>
      <c r="U16" t="n">
        <v>3.4</v>
      </c>
      <c r="V16" t="n">
        <v>1970</v>
      </c>
      <c r="W16" t="n">
        <v>105</v>
      </c>
      <c r="X16" t="inlineStr">
        <is>
          <t>Hill repeats</t>
        </is>
      </c>
    </row>
    <row r="17">
      <c r="A17" t="inlineStr">
        <is>
          <t>2026-02-12</t>
        </is>
      </c>
      <c r="B17" t="n">
        <v>4</v>
      </c>
      <c r="C17" t="n">
        <v>4</v>
      </c>
      <c r="D17" t="inlineStr">
        <is>
          <t>Recovery</t>
        </is>
      </c>
      <c r="E17" t="n">
        <v>3</v>
      </c>
      <c r="F17" t="n">
        <v>24</v>
      </c>
      <c r="G17" t="n">
        <v>144</v>
      </c>
      <c r="H17" t="n">
        <v>152</v>
      </c>
      <c r="I17" t="n">
        <v>4</v>
      </c>
      <c r="J17" t="inlineStr">
        <is>
          <t>Rainy</t>
        </is>
      </c>
      <c r="K17" t="n">
        <v>8</v>
      </c>
      <c r="L17" t="inlineStr">
        <is>
          <t>Flat</t>
        </is>
      </c>
      <c r="M17" t="n">
        <v>28</v>
      </c>
      <c r="N17" t="n">
        <v>267</v>
      </c>
      <c r="O17" t="n">
        <v>9</v>
      </c>
      <c r="P17" t="n">
        <v>6</v>
      </c>
      <c r="Q17" t="n">
        <v>9</v>
      </c>
      <c r="R17" t="n">
        <v>6.8</v>
      </c>
      <c r="S17" t="n">
        <v>62</v>
      </c>
      <c r="T17" t="n">
        <v>74.7</v>
      </c>
      <c r="U17" t="n">
        <v>2.3</v>
      </c>
      <c r="V17" t="n">
        <v>2170</v>
      </c>
      <c r="W17" t="n">
        <v>122</v>
      </c>
      <c r="X17" t="inlineStr">
        <is>
          <t>Cold morning</t>
        </is>
      </c>
    </row>
    <row r="18">
      <c r="A18" t="inlineStr">
        <is>
          <t>2026-02-14</t>
        </is>
      </c>
      <c r="B18" t="n">
        <v>4</v>
      </c>
      <c r="C18" t="n">
        <v>6</v>
      </c>
      <c r="D18" t="inlineStr">
        <is>
          <t>Easy</t>
        </is>
      </c>
      <c r="E18" t="n">
        <v>4.8</v>
      </c>
      <c r="F18" t="n">
        <v>35</v>
      </c>
      <c r="G18" t="n">
        <v>148</v>
      </c>
      <c r="H18" t="n">
        <v>160</v>
      </c>
      <c r="I18" t="n">
        <v>3</v>
      </c>
      <c r="J18" t="inlineStr">
        <is>
          <t>Cloudy</t>
        </is>
      </c>
      <c r="K18" t="n">
        <v>19</v>
      </c>
      <c r="L18" t="inlineStr">
        <is>
          <t>Treadmill</t>
        </is>
      </c>
      <c r="M18" t="n">
        <v>27</v>
      </c>
      <c r="N18" t="n">
        <v>417</v>
      </c>
      <c r="O18" t="n">
        <v>8</v>
      </c>
      <c r="P18" t="n">
        <v>9</v>
      </c>
      <c r="Q18" t="n">
        <v>5</v>
      </c>
      <c r="R18" t="n">
        <v>6.3</v>
      </c>
      <c r="S18" t="n">
        <v>66</v>
      </c>
      <c r="T18" t="n">
        <v>74.8</v>
      </c>
      <c r="U18" t="n">
        <v>2.8</v>
      </c>
      <c r="V18" t="n">
        <v>2278</v>
      </c>
      <c r="W18" t="n">
        <v>127</v>
      </c>
      <c r="X18" t="inlineStr">
        <is>
          <t>Perfect conditions</t>
        </is>
      </c>
    </row>
    <row r="19">
      <c r="A19" t="inlineStr">
        <is>
          <t>2026-02-18</t>
        </is>
      </c>
      <c r="B19" t="n">
        <v>5</v>
      </c>
      <c r="C19" t="n">
        <v>3</v>
      </c>
      <c r="D19" t="inlineStr">
        <is>
          <t>Tempo</t>
        </is>
      </c>
      <c r="E19" t="n">
        <v>4.4</v>
      </c>
      <c r="F19" t="n">
        <v>28</v>
      </c>
      <c r="G19" t="n">
        <v>155</v>
      </c>
      <c r="H19" t="n">
        <v>166</v>
      </c>
      <c r="I19" t="n">
        <v>7</v>
      </c>
      <c r="J19" t="inlineStr">
        <is>
          <t>Cloudy</t>
        </is>
      </c>
      <c r="K19" t="n">
        <v>10</v>
      </c>
      <c r="L19" t="inlineStr">
        <is>
          <t>Hilly</t>
        </is>
      </c>
      <c r="M19" t="n">
        <v>125</v>
      </c>
      <c r="N19" t="n">
        <v>370</v>
      </c>
      <c r="O19" t="n">
        <v>5</v>
      </c>
      <c r="P19" t="n">
        <v>6</v>
      </c>
      <c r="Q19" t="n">
        <v>10</v>
      </c>
      <c r="R19" t="n">
        <v>8.300000000000001</v>
      </c>
      <c r="S19" t="n">
        <v>64</v>
      </c>
      <c r="T19" t="n">
        <v>74.7</v>
      </c>
      <c r="U19" t="n">
        <v>3.3</v>
      </c>
      <c r="V19" t="n">
        <v>2154</v>
      </c>
      <c r="W19" t="n">
        <v>107</v>
      </c>
      <c r="X19" t="inlineStr">
        <is>
          <t>Good pace</t>
        </is>
      </c>
    </row>
    <row r="20">
      <c r="A20" t="inlineStr">
        <is>
          <t>2026-02-19</t>
        </is>
      </c>
      <c r="B20" t="n">
        <v>5</v>
      </c>
      <c r="C20" t="n">
        <v>4</v>
      </c>
      <c r="D20" t="inlineStr">
        <is>
          <t>Cross-Train</t>
        </is>
      </c>
      <c r="E20" t="n">
        <v>0</v>
      </c>
      <c r="F20" t="n">
        <v>42</v>
      </c>
      <c r="G20" t="n">
        <v>126</v>
      </c>
      <c r="H20" t="n">
        <v>138</v>
      </c>
      <c r="I20" t="n">
        <v>4</v>
      </c>
      <c r="J20" t="inlineStr">
        <is>
          <t>Cloudy</t>
        </is>
      </c>
      <c r="K20" t="n">
        <v>5</v>
      </c>
      <c r="L20" t="inlineStr">
        <is>
          <t>Mixed</t>
        </is>
      </c>
      <c r="M20" t="n">
        <v>11</v>
      </c>
      <c r="N20" t="n">
        <v>252</v>
      </c>
      <c r="O20" t="n">
        <v>8</v>
      </c>
      <c r="P20" t="n">
        <v>7</v>
      </c>
      <c r="Q20" t="n">
        <v>9</v>
      </c>
      <c r="R20" t="n">
        <v>8.6</v>
      </c>
      <c r="S20" t="n">
        <v>67</v>
      </c>
      <c r="T20" t="n">
        <v>74.09999999999999</v>
      </c>
      <c r="U20" t="n">
        <v>3</v>
      </c>
      <c r="V20" t="n">
        <v>2309</v>
      </c>
      <c r="W20" t="n">
        <v>133</v>
      </c>
      <c r="X20" t="inlineStr">
        <is>
          <t>Perfect conditions</t>
        </is>
      </c>
    </row>
    <row r="21">
      <c r="A21" t="inlineStr">
        <is>
          <t>2026-02-21</t>
        </is>
      </c>
      <c r="B21" t="n">
        <v>5</v>
      </c>
      <c r="C21" t="n">
        <v>6</v>
      </c>
      <c r="D21" t="inlineStr">
        <is>
          <t>Easy</t>
        </is>
      </c>
      <c r="E21" t="n">
        <v>3.1</v>
      </c>
      <c r="F21" t="n">
        <v>24</v>
      </c>
      <c r="G21" t="n">
        <v>142</v>
      </c>
      <c r="H21" t="n">
        <v>152</v>
      </c>
      <c r="I21" t="n">
        <v>5</v>
      </c>
      <c r="J21" t="inlineStr">
        <is>
          <t>Rainy</t>
        </is>
      </c>
      <c r="K21" t="n">
        <v>15</v>
      </c>
      <c r="L21" t="inlineStr">
        <is>
          <t>Track</t>
        </is>
      </c>
      <c r="M21" t="n">
        <v>24</v>
      </c>
      <c r="N21" t="n">
        <v>273</v>
      </c>
      <c r="O21" t="n">
        <v>9</v>
      </c>
      <c r="P21" t="n">
        <v>5</v>
      </c>
      <c r="Q21" t="n">
        <v>11</v>
      </c>
      <c r="R21" t="n">
        <v>8.699999999999999</v>
      </c>
      <c r="S21" t="n">
        <v>61</v>
      </c>
      <c r="T21" t="n">
        <v>74</v>
      </c>
      <c r="U21" t="n">
        <v>3.1</v>
      </c>
      <c r="V21" t="n">
        <v>1901</v>
      </c>
      <c r="W21" t="n">
        <v>123</v>
      </c>
      <c r="X21" t="inlineStr">
        <is>
          <t>Perfect conditions</t>
        </is>
      </c>
    </row>
    <row r="22">
      <c r="A22" t="inlineStr">
        <is>
          <t>2026-02-22</t>
        </is>
      </c>
      <c r="B22" t="n">
        <v>5</v>
      </c>
      <c r="C22" t="n">
        <v>7</v>
      </c>
      <c r="D22" t="inlineStr">
        <is>
          <t>Long</t>
        </is>
      </c>
      <c r="E22" t="n">
        <v>6.9</v>
      </c>
      <c r="F22" t="n">
        <v>53</v>
      </c>
      <c r="G22" t="n">
        <v>140</v>
      </c>
      <c r="H22" t="n">
        <v>153</v>
      </c>
      <c r="I22" t="n">
        <v>7</v>
      </c>
      <c r="J22" t="inlineStr">
        <is>
          <t>Hot</t>
        </is>
      </c>
      <c r="K22" t="n">
        <v>27</v>
      </c>
      <c r="L22" t="inlineStr">
        <is>
          <t>Mixed</t>
        </is>
      </c>
      <c r="M22" t="n">
        <v>14</v>
      </c>
      <c r="N22" t="n">
        <v>607</v>
      </c>
      <c r="O22" t="n">
        <v>9</v>
      </c>
      <c r="P22" t="n">
        <v>7</v>
      </c>
      <c r="Q22" t="n">
        <v>15</v>
      </c>
      <c r="R22" t="n">
        <v>7.2</v>
      </c>
      <c r="S22" t="n">
        <v>63</v>
      </c>
      <c r="T22" t="n">
        <v>74.5</v>
      </c>
      <c r="U22" t="n">
        <v>2.8</v>
      </c>
      <c r="V22" t="n">
        <v>2096</v>
      </c>
      <c r="W22" t="n">
        <v>116</v>
      </c>
      <c r="X22" t="inlineStr">
        <is>
          <t>Recovery run</t>
        </is>
      </c>
    </row>
    <row r="23">
      <c r="A23" t="inlineStr">
        <is>
          <t>2026-02-23</t>
        </is>
      </c>
      <c r="B23" t="n">
        <v>5</v>
      </c>
      <c r="C23" t="n">
        <v>1</v>
      </c>
      <c r="D23" t="inlineStr">
        <is>
          <t>Easy</t>
        </is>
      </c>
      <c r="E23" t="n">
        <v>4.8</v>
      </c>
      <c r="F23" t="n">
        <v>37</v>
      </c>
      <c r="G23" t="n">
        <v>143</v>
      </c>
      <c r="H23" t="n">
        <v>157</v>
      </c>
      <c r="I23" t="n">
        <v>5</v>
      </c>
      <c r="J23" t="inlineStr">
        <is>
          <t>Cold</t>
        </is>
      </c>
      <c r="K23" t="n">
        <v>7</v>
      </c>
      <c r="L23" t="inlineStr">
        <is>
          <t>Mixed</t>
        </is>
      </c>
      <c r="M23" t="n">
        <v>15</v>
      </c>
      <c r="N23" t="n">
        <v>423</v>
      </c>
      <c r="O23" t="n">
        <v>8</v>
      </c>
      <c r="P23" t="n">
        <v>8</v>
      </c>
      <c r="Q23" t="n">
        <v>12</v>
      </c>
      <c r="R23" t="n">
        <v>8</v>
      </c>
      <c r="S23" t="n">
        <v>64</v>
      </c>
      <c r="T23" t="n">
        <v>74.2</v>
      </c>
      <c r="U23" t="n">
        <v>3.4</v>
      </c>
      <c r="V23" t="n">
        <v>2073</v>
      </c>
      <c r="W23" t="n">
        <v>132</v>
      </c>
      <c r="X23" t="inlineStr">
        <is>
          <t>Great weather</t>
        </is>
      </c>
    </row>
    <row r="24">
      <c r="A24" t="inlineStr">
        <is>
          <t>2026-02-25</t>
        </is>
      </c>
      <c r="B24" t="n">
        <v>6</v>
      </c>
      <c r="C24" t="n">
        <v>3</v>
      </c>
      <c r="D24" t="inlineStr">
        <is>
          <t>Intervals</t>
        </is>
      </c>
      <c r="E24" t="n">
        <v>3.6</v>
      </c>
      <c r="F24" t="n">
        <v>24</v>
      </c>
      <c r="G24" t="n">
        <v>168</v>
      </c>
      <c r="H24" t="n">
        <v>193</v>
      </c>
      <c r="I24" t="n">
        <v>7</v>
      </c>
      <c r="J24" t="inlineStr">
        <is>
          <t>Cloudy</t>
        </is>
      </c>
      <c r="K24" t="n">
        <v>20</v>
      </c>
      <c r="L24" t="inlineStr">
        <is>
          <t>Treadmill</t>
        </is>
      </c>
      <c r="M24" t="n">
        <v>29</v>
      </c>
      <c r="N24" t="n">
        <v>306</v>
      </c>
      <c r="O24" t="n">
        <v>5</v>
      </c>
      <c r="P24" t="n">
        <v>8</v>
      </c>
      <c r="Q24" t="n">
        <v>11</v>
      </c>
      <c r="R24" t="n">
        <v>8.699999999999999</v>
      </c>
      <c r="S24" t="n">
        <v>64</v>
      </c>
      <c r="T24" t="n">
        <v>73.90000000000001</v>
      </c>
      <c r="U24" t="n">
        <v>3</v>
      </c>
      <c r="V24" t="n">
        <v>2406</v>
      </c>
      <c r="W24" t="n">
        <v>115</v>
      </c>
      <c r="X24" t="inlineStr">
        <is>
          <t>Strong finish</t>
        </is>
      </c>
    </row>
    <row r="25">
      <c r="A25" t="inlineStr">
        <is>
          <t>2026-02-28</t>
        </is>
      </c>
      <c r="B25" t="n">
        <v>6</v>
      </c>
      <c r="C25" t="n">
        <v>6</v>
      </c>
      <c r="D25" t="inlineStr">
        <is>
          <t>Easy</t>
        </is>
      </c>
      <c r="E25" t="n">
        <v>4.8</v>
      </c>
      <c r="F25" t="n">
        <v>37</v>
      </c>
      <c r="G25" t="n">
        <v>137</v>
      </c>
      <c r="H25" t="n">
        <v>151</v>
      </c>
      <c r="I25" t="n">
        <v>3</v>
      </c>
      <c r="J25" t="inlineStr">
        <is>
          <t>Cold</t>
        </is>
      </c>
      <c r="K25" t="n">
        <v>1</v>
      </c>
      <c r="L25" t="inlineStr">
        <is>
          <t>Flat</t>
        </is>
      </c>
      <c r="M25" t="n">
        <v>19</v>
      </c>
      <c r="N25" t="n">
        <v>423</v>
      </c>
      <c r="O25" t="n">
        <v>6</v>
      </c>
      <c r="P25" t="n">
        <v>8</v>
      </c>
      <c r="Q25" t="n">
        <v>15</v>
      </c>
      <c r="R25" t="n">
        <v>7.6</v>
      </c>
      <c r="S25" t="n">
        <v>64</v>
      </c>
      <c r="T25" t="n">
        <v>74.2</v>
      </c>
      <c r="U25" t="n">
        <v>3.4</v>
      </c>
      <c r="V25" t="n">
        <v>2353</v>
      </c>
      <c r="W25" t="n">
        <v>129</v>
      </c>
      <c r="X25" t="inlineStr">
        <is>
          <t>Rainy but good</t>
        </is>
      </c>
    </row>
    <row r="26">
      <c r="A26" t="inlineStr">
        <is>
          <t>2026-03-01</t>
        </is>
      </c>
      <c r="B26" t="n">
        <v>6</v>
      </c>
      <c r="C26" t="n">
        <v>7</v>
      </c>
      <c r="D26" t="inlineStr">
        <is>
          <t>Long</t>
        </is>
      </c>
      <c r="E26" t="n">
        <v>7.2</v>
      </c>
      <c r="F26" t="n">
        <v>54</v>
      </c>
      <c r="G26" t="n">
        <v>139</v>
      </c>
      <c r="H26" t="n">
        <v>154</v>
      </c>
      <c r="I26" t="n">
        <v>6</v>
      </c>
      <c r="J26" t="inlineStr">
        <is>
          <t>Windy</t>
        </is>
      </c>
      <c r="K26" t="n">
        <v>25</v>
      </c>
      <c r="L26" t="inlineStr">
        <is>
          <t>Hilly</t>
        </is>
      </c>
      <c r="M26" t="n">
        <v>90</v>
      </c>
      <c r="N26" t="n">
        <v>630</v>
      </c>
      <c r="O26" t="n">
        <v>8</v>
      </c>
      <c r="P26" t="n">
        <v>5</v>
      </c>
      <c r="Q26" t="n">
        <v>9</v>
      </c>
      <c r="R26" t="n">
        <v>6.7</v>
      </c>
      <c r="S26" t="n">
        <v>62</v>
      </c>
      <c r="T26" t="n">
        <v>73.90000000000001</v>
      </c>
      <c r="U26" t="n">
        <v>2.8</v>
      </c>
      <c r="V26" t="n">
        <v>2041</v>
      </c>
      <c r="W26" t="n">
        <v>99</v>
      </c>
      <c r="X26" t="inlineStr">
        <is>
          <t>Strong finish</t>
        </is>
      </c>
    </row>
    <row r="27">
      <c r="A27" t="inlineStr">
        <is>
          <t>2026-03-02</t>
        </is>
      </c>
      <c r="B27" t="n">
        <v>6</v>
      </c>
      <c r="C27" t="n">
        <v>1</v>
      </c>
      <c r="D27" t="inlineStr">
        <is>
          <t>Easy</t>
        </is>
      </c>
      <c r="E27" t="n">
        <v>3.3</v>
      </c>
      <c r="F27" t="n">
        <v>24</v>
      </c>
      <c r="G27" t="n">
        <v>147</v>
      </c>
      <c r="H27" t="n">
        <v>161</v>
      </c>
      <c r="I27" t="n">
        <v>4</v>
      </c>
      <c r="J27" t="inlineStr">
        <is>
          <t>Windy</t>
        </is>
      </c>
      <c r="K27" t="n">
        <v>17</v>
      </c>
      <c r="L27" t="inlineStr">
        <is>
          <t>Treadmill</t>
        </is>
      </c>
      <c r="M27" t="n">
        <v>27</v>
      </c>
      <c r="N27" t="n">
        <v>286</v>
      </c>
      <c r="O27" t="n">
        <v>5</v>
      </c>
      <c r="P27" t="n">
        <v>9</v>
      </c>
      <c r="Q27" t="n">
        <v>11</v>
      </c>
      <c r="R27" t="n">
        <v>7.4</v>
      </c>
      <c r="S27" t="n">
        <v>62</v>
      </c>
      <c r="T27" t="n">
        <v>73.90000000000001</v>
      </c>
      <c r="U27" t="n">
        <v>2.6</v>
      </c>
      <c r="V27" t="n">
        <v>2329</v>
      </c>
      <c r="W27" t="n">
        <v>124</v>
      </c>
      <c r="X27" t="inlineStr">
        <is>
          <t>Perfect conditions</t>
        </is>
      </c>
    </row>
    <row r="28">
      <c r="A28" t="inlineStr">
        <is>
          <t>2026-03-04</t>
        </is>
      </c>
      <c r="B28" t="n">
        <v>7</v>
      </c>
      <c r="C28" t="n">
        <v>3</v>
      </c>
      <c r="D28" t="inlineStr">
        <is>
          <t>Tempo</t>
        </is>
      </c>
      <c r="E28" t="n">
        <v>4</v>
      </c>
      <c r="F28" t="n">
        <v>25</v>
      </c>
      <c r="G28" t="n">
        <v>158</v>
      </c>
      <c r="H28" t="n">
        <v>168</v>
      </c>
      <c r="I28" t="n">
        <v>8</v>
      </c>
      <c r="J28" t="inlineStr">
        <is>
          <t>Cloudy</t>
        </is>
      </c>
      <c r="K28" t="n">
        <v>19</v>
      </c>
      <c r="L28" t="inlineStr">
        <is>
          <t>Hilly</t>
        </is>
      </c>
      <c r="M28" t="n">
        <v>26</v>
      </c>
      <c r="N28" t="n">
        <v>335</v>
      </c>
      <c r="O28" t="n">
        <v>8</v>
      </c>
      <c r="P28" t="n">
        <v>9</v>
      </c>
      <c r="Q28" t="n">
        <v>14</v>
      </c>
      <c r="R28" t="n">
        <v>8</v>
      </c>
      <c r="S28" t="n">
        <v>60</v>
      </c>
      <c r="T28" t="n">
        <v>74.2</v>
      </c>
      <c r="U28" t="n">
        <v>2.2</v>
      </c>
      <c r="V28" t="n">
        <v>2372</v>
      </c>
      <c r="W28" t="n">
        <v>101</v>
      </c>
      <c r="X28" t="inlineStr">
        <is>
          <t>Tired legs</t>
        </is>
      </c>
    </row>
    <row r="29">
      <c r="A29" t="inlineStr">
        <is>
          <t>2026-03-05</t>
        </is>
      </c>
      <c r="B29" t="n">
        <v>7</v>
      </c>
      <c r="C29" t="n">
        <v>4</v>
      </c>
      <c r="D29" t="inlineStr">
        <is>
          <t>Recovery</t>
        </is>
      </c>
      <c r="E29" t="n">
        <v>3</v>
      </c>
      <c r="F29" t="n">
        <v>24</v>
      </c>
      <c r="G29" t="n">
        <v>140</v>
      </c>
      <c r="H29" t="n">
        <v>155</v>
      </c>
      <c r="I29" t="n">
        <v>3</v>
      </c>
      <c r="J29" t="inlineStr">
        <is>
          <t>Sunny</t>
        </is>
      </c>
      <c r="K29" t="n">
        <v>20</v>
      </c>
      <c r="L29" t="inlineStr">
        <is>
          <t>Flat</t>
        </is>
      </c>
      <c r="M29" t="n">
        <v>28</v>
      </c>
      <c r="N29" t="n">
        <v>267</v>
      </c>
      <c r="O29" t="n">
        <v>9</v>
      </c>
      <c r="P29" t="n">
        <v>5</v>
      </c>
      <c r="Q29" t="n">
        <v>10</v>
      </c>
      <c r="R29" t="n">
        <v>6.7</v>
      </c>
      <c r="S29" t="n">
        <v>60</v>
      </c>
      <c r="T29" t="n">
        <v>74.3</v>
      </c>
      <c r="U29" t="n">
        <v>3</v>
      </c>
      <c r="V29" t="n">
        <v>1931</v>
      </c>
      <c r="W29" t="n">
        <v>105</v>
      </c>
      <c r="X29" t="inlineStr">
        <is>
          <t>Struggled early</t>
        </is>
      </c>
    </row>
    <row r="30">
      <c r="A30" t="inlineStr">
        <is>
          <t>2026-03-07</t>
        </is>
      </c>
      <c r="B30" t="n">
        <v>7</v>
      </c>
      <c r="C30" t="n">
        <v>6</v>
      </c>
      <c r="D30" t="inlineStr">
        <is>
          <t>Easy</t>
        </is>
      </c>
      <c r="E30" t="n">
        <v>4.2</v>
      </c>
      <c r="F30" t="n">
        <v>31</v>
      </c>
      <c r="G30" t="n">
        <v>148</v>
      </c>
      <c r="H30" t="n">
        <v>157</v>
      </c>
      <c r="I30" t="n">
        <v>5</v>
      </c>
      <c r="J30" t="inlineStr">
        <is>
          <t>Cloudy</t>
        </is>
      </c>
      <c r="K30" t="n">
        <v>24</v>
      </c>
      <c r="L30" t="inlineStr">
        <is>
          <t>Treadmill</t>
        </is>
      </c>
      <c r="M30" t="n">
        <v>28</v>
      </c>
      <c r="N30" t="n">
        <v>366</v>
      </c>
      <c r="O30" t="n">
        <v>10</v>
      </c>
      <c r="P30" t="n">
        <v>5</v>
      </c>
      <c r="Q30" t="n">
        <v>7</v>
      </c>
      <c r="R30" t="n">
        <v>8.9</v>
      </c>
      <c r="S30" t="n">
        <v>60</v>
      </c>
      <c r="T30" t="n">
        <v>74.09999999999999</v>
      </c>
      <c r="U30" t="n">
        <v>3.4</v>
      </c>
      <c r="V30" t="n">
        <v>2489</v>
      </c>
      <c r="W30" t="n">
        <v>133</v>
      </c>
      <c r="X30" t="inlineStr">
        <is>
          <t>Recovery run</t>
        </is>
      </c>
    </row>
    <row r="31">
      <c r="A31" t="inlineStr">
        <is>
          <t>2026-03-08</t>
        </is>
      </c>
      <c r="B31" t="n">
        <v>7</v>
      </c>
      <c r="C31" t="n">
        <v>7</v>
      </c>
      <c r="D31" t="inlineStr">
        <is>
          <t>Long</t>
        </is>
      </c>
      <c r="E31" t="n">
        <v>7.3</v>
      </c>
      <c r="F31" t="n">
        <v>53</v>
      </c>
      <c r="G31" t="n">
        <v>140</v>
      </c>
      <c r="H31" t="n">
        <v>149</v>
      </c>
      <c r="I31" t="n">
        <v>5</v>
      </c>
      <c r="J31" t="inlineStr">
        <is>
          <t>Sunny</t>
        </is>
      </c>
      <c r="K31" t="n">
        <v>16</v>
      </c>
      <c r="L31" t="inlineStr">
        <is>
          <t>Treadmill</t>
        </is>
      </c>
      <c r="M31" t="n">
        <v>18</v>
      </c>
      <c r="N31" t="n">
        <v>633</v>
      </c>
      <c r="O31" t="n">
        <v>10</v>
      </c>
      <c r="P31" t="n">
        <v>7</v>
      </c>
      <c r="Q31" t="n">
        <v>6</v>
      </c>
      <c r="R31" t="n">
        <v>7.5</v>
      </c>
      <c r="S31" t="n">
        <v>62</v>
      </c>
      <c r="T31" t="n">
        <v>73.5</v>
      </c>
      <c r="U31" t="n">
        <v>2.6</v>
      </c>
      <c r="V31" t="n">
        <v>2401</v>
      </c>
      <c r="W31" t="n">
        <v>96</v>
      </c>
      <c r="X31" t="inlineStr">
        <is>
          <t>PR attempt</t>
        </is>
      </c>
    </row>
    <row r="32">
      <c r="A32" t="inlineStr">
        <is>
          <t>2026-03-09</t>
        </is>
      </c>
      <c r="B32" t="n">
        <v>7</v>
      </c>
      <c r="C32" t="n">
        <v>1</v>
      </c>
      <c r="D32" t="inlineStr">
        <is>
          <t>Easy</t>
        </is>
      </c>
      <c r="E32" t="n">
        <v>4.3</v>
      </c>
      <c r="F32" t="n">
        <v>33</v>
      </c>
      <c r="G32" t="n">
        <v>137</v>
      </c>
      <c r="H32" t="n">
        <v>151</v>
      </c>
      <c r="I32" t="n">
        <v>3</v>
      </c>
      <c r="J32" t="inlineStr">
        <is>
          <t>Cold</t>
        </is>
      </c>
      <c r="K32" t="n">
        <v>5</v>
      </c>
      <c r="L32" t="inlineStr">
        <is>
          <t>Track</t>
        </is>
      </c>
      <c r="M32" t="n">
        <v>18</v>
      </c>
      <c r="N32" t="n">
        <v>378</v>
      </c>
      <c r="O32" t="n">
        <v>10</v>
      </c>
      <c r="P32" t="n">
        <v>9</v>
      </c>
      <c r="Q32" t="n">
        <v>9</v>
      </c>
      <c r="R32" t="n">
        <v>7</v>
      </c>
      <c r="S32" t="n">
        <v>61</v>
      </c>
      <c r="T32" t="n">
        <v>74.3</v>
      </c>
      <c r="U32" t="n">
        <v>2.1</v>
      </c>
      <c r="V32" t="n">
        <v>2361</v>
      </c>
      <c r="W32" t="n">
        <v>105</v>
      </c>
      <c r="X32" t="inlineStr">
        <is>
          <t>Hot day</t>
        </is>
      </c>
    </row>
    <row r="33">
      <c r="A33" t="inlineStr">
        <is>
          <t>2026-03-11</t>
        </is>
      </c>
      <c r="B33" t="n">
        <v>8</v>
      </c>
      <c r="C33" t="n">
        <v>3</v>
      </c>
      <c r="D33" t="inlineStr">
        <is>
          <t>Intervals</t>
        </is>
      </c>
      <c r="E33" t="n">
        <v>3.8</v>
      </c>
      <c r="F33" t="n">
        <v>24</v>
      </c>
      <c r="G33" t="n">
        <v>170</v>
      </c>
      <c r="H33" t="n">
        <v>187</v>
      </c>
      <c r="I33" t="n">
        <v>8</v>
      </c>
      <c r="J33" t="inlineStr">
        <is>
          <t>Cold</t>
        </is>
      </c>
      <c r="K33" t="n">
        <v>2</v>
      </c>
      <c r="L33" t="inlineStr">
        <is>
          <t>Treadmill</t>
        </is>
      </c>
      <c r="M33" t="n">
        <v>5</v>
      </c>
      <c r="N33" t="n">
        <v>319</v>
      </c>
      <c r="O33" t="n">
        <v>9</v>
      </c>
      <c r="P33" t="n">
        <v>6</v>
      </c>
      <c r="Q33" t="n">
        <v>6</v>
      </c>
      <c r="R33" t="n">
        <v>6.7</v>
      </c>
      <c r="S33" t="n">
        <v>63</v>
      </c>
      <c r="T33" t="n">
        <v>73.90000000000001</v>
      </c>
      <c r="U33" t="n">
        <v>3.1</v>
      </c>
      <c r="V33" t="n">
        <v>2387</v>
      </c>
      <c r="W33" t="n">
        <v>131</v>
      </c>
      <c r="X33" t="inlineStr">
        <is>
          <t>Cold morning</t>
        </is>
      </c>
    </row>
    <row r="34">
      <c r="A34" t="inlineStr">
        <is>
          <t>2026-03-12</t>
        </is>
      </c>
      <c r="B34" t="n">
        <v>8</v>
      </c>
      <c r="C34" t="n">
        <v>4</v>
      </c>
      <c r="D34" t="inlineStr">
        <is>
          <t>Cross-Train</t>
        </is>
      </c>
      <c r="E34" t="n">
        <v>0</v>
      </c>
      <c r="F34" t="n">
        <v>32</v>
      </c>
      <c r="G34" t="n">
        <v>134</v>
      </c>
      <c r="H34" t="n">
        <v>142</v>
      </c>
      <c r="I34" t="n">
        <v>6</v>
      </c>
      <c r="J34" t="inlineStr">
        <is>
          <t>Rainy</t>
        </is>
      </c>
      <c r="K34" t="n">
        <v>20</v>
      </c>
      <c r="L34" t="inlineStr">
        <is>
          <t>Treadmill</t>
        </is>
      </c>
      <c r="M34" t="n">
        <v>21</v>
      </c>
      <c r="N34" t="n">
        <v>192</v>
      </c>
      <c r="O34" t="n">
        <v>7</v>
      </c>
      <c r="P34" t="n">
        <v>8</v>
      </c>
      <c r="Q34" t="n">
        <v>13</v>
      </c>
      <c r="R34" t="n">
        <v>7</v>
      </c>
      <c r="S34" t="n">
        <v>65</v>
      </c>
      <c r="T34" t="n">
        <v>73.8</v>
      </c>
      <c r="U34" t="n">
        <v>2.5</v>
      </c>
      <c r="V34" t="n">
        <v>2136</v>
      </c>
      <c r="W34" t="n">
        <v>97</v>
      </c>
      <c r="X34" t="inlineStr">
        <is>
          <t>Struggled early</t>
        </is>
      </c>
    </row>
    <row r="35">
      <c r="A35" t="inlineStr">
        <is>
          <t>2026-03-14</t>
        </is>
      </c>
      <c r="B35" t="n">
        <v>8</v>
      </c>
      <c r="C35" t="n">
        <v>6</v>
      </c>
      <c r="D35" t="inlineStr">
        <is>
          <t>Easy</t>
        </is>
      </c>
      <c r="E35" t="n">
        <v>4.5</v>
      </c>
      <c r="F35" t="n">
        <v>35</v>
      </c>
      <c r="G35" t="n">
        <v>138</v>
      </c>
      <c r="H35" t="n">
        <v>149</v>
      </c>
      <c r="I35" t="n">
        <v>3</v>
      </c>
      <c r="J35" t="inlineStr">
        <is>
          <t>Cold</t>
        </is>
      </c>
      <c r="K35" t="n">
        <v>7</v>
      </c>
      <c r="L35" t="inlineStr">
        <is>
          <t>Trail</t>
        </is>
      </c>
      <c r="M35" t="n">
        <v>45</v>
      </c>
      <c r="N35" t="n">
        <v>397</v>
      </c>
      <c r="O35" t="n">
        <v>6</v>
      </c>
      <c r="P35" t="n">
        <v>7</v>
      </c>
      <c r="Q35" t="n">
        <v>8</v>
      </c>
      <c r="R35" t="n">
        <v>7.1</v>
      </c>
      <c r="S35" t="n">
        <v>62</v>
      </c>
      <c r="T35" t="n">
        <v>73.3</v>
      </c>
      <c r="U35" t="n">
        <v>2.8</v>
      </c>
      <c r="V35" t="n">
        <v>2180</v>
      </c>
      <c r="W35" t="n">
        <v>92</v>
      </c>
      <c r="X35" t="inlineStr">
        <is>
          <t>Tired legs</t>
        </is>
      </c>
    </row>
    <row r="36">
      <c r="A36" t="inlineStr">
        <is>
          <t>2026-03-15</t>
        </is>
      </c>
      <c r="B36" t="n">
        <v>8</v>
      </c>
      <c r="C36" t="n">
        <v>7</v>
      </c>
      <c r="D36" t="inlineStr">
        <is>
          <t>Long</t>
        </is>
      </c>
      <c r="E36" t="n">
        <v>7.6</v>
      </c>
      <c r="F36" t="n">
        <v>55</v>
      </c>
      <c r="G36" t="n">
        <v>148</v>
      </c>
      <c r="H36" t="n">
        <v>157</v>
      </c>
      <c r="I36" t="n">
        <v>6</v>
      </c>
      <c r="J36" t="inlineStr">
        <is>
          <t>Rainy</t>
        </is>
      </c>
      <c r="K36" t="n">
        <v>10</v>
      </c>
      <c r="L36" t="inlineStr">
        <is>
          <t>Flat</t>
        </is>
      </c>
      <c r="M36" t="n">
        <v>13</v>
      </c>
      <c r="N36" t="n">
        <v>659</v>
      </c>
      <c r="O36" t="n">
        <v>8</v>
      </c>
      <c r="P36" t="n">
        <v>5</v>
      </c>
      <c r="Q36" t="n">
        <v>6</v>
      </c>
      <c r="R36" t="n">
        <v>7.2</v>
      </c>
      <c r="S36" t="n">
        <v>60</v>
      </c>
      <c r="T36" t="n">
        <v>73.90000000000001</v>
      </c>
      <c r="U36" t="n">
        <v>3</v>
      </c>
      <c r="V36" t="n">
        <v>2055</v>
      </c>
      <c r="W36" t="n">
        <v>99</v>
      </c>
    </row>
    <row r="37">
      <c r="A37" t="inlineStr">
        <is>
          <t>2026-03-16</t>
        </is>
      </c>
      <c r="B37" t="n">
        <v>8</v>
      </c>
      <c r="C37" t="n">
        <v>1</v>
      </c>
      <c r="D37" t="inlineStr">
        <is>
          <t>Easy</t>
        </is>
      </c>
      <c r="E37" t="n">
        <v>3.2</v>
      </c>
      <c r="F37" t="n">
        <v>24</v>
      </c>
      <c r="G37" t="n">
        <v>146</v>
      </c>
      <c r="H37" t="n">
        <v>157</v>
      </c>
      <c r="I37" t="n">
        <v>5</v>
      </c>
      <c r="J37" t="inlineStr">
        <is>
          <t>Windy</t>
        </is>
      </c>
      <c r="K37" t="n">
        <v>14</v>
      </c>
      <c r="L37" t="inlineStr">
        <is>
          <t>Treadmill</t>
        </is>
      </c>
      <c r="M37" t="n">
        <v>24</v>
      </c>
      <c r="N37" t="n">
        <v>280</v>
      </c>
      <c r="O37" t="n">
        <v>5</v>
      </c>
      <c r="P37" t="n">
        <v>9</v>
      </c>
      <c r="Q37" t="n">
        <v>6</v>
      </c>
      <c r="R37" t="n">
        <v>8.800000000000001</v>
      </c>
      <c r="S37" t="n">
        <v>61</v>
      </c>
      <c r="T37" t="n">
        <v>73.90000000000001</v>
      </c>
      <c r="U37" t="n">
        <v>2.4</v>
      </c>
      <c r="V37" t="n">
        <v>1983</v>
      </c>
      <c r="W37" t="n">
        <v>100</v>
      </c>
      <c r="X37" t="inlineStr">
        <is>
          <t>Strong finish</t>
        </is>
      </c>
    </row>
    <row r="38">
      <c r="A38" t="inlineStr">
        <is>
          <t>2026-03-18</t>
        </is>
      </c>
      <c r="B38" t="n">
        <v>9</v>
      </c>
      <c r="C38" t="n">
        <v>3</v>
      </c>
      <c r="D38" t="inlineStr">
        <is>
          <t>Tempo</t>
        </is>
      </c>
      <c r="E38" t="n">
        <v>3.7</v>
      </c>
      <c r="F38" t="n">
        <v>23</v>
      </c>
      <c r="G38" t="n">
        <v>161</v>
      </c>
      <c r="H38" t="n">
        <v>178</v>
      </c>
      <c r="I38" t="n">
        <v>6</v>
      </c>
      <c r="J38" t="inlineStr">
        <is>
          <t>Hot</t>
        </is>
      </c>
      <c r="K38" t="n">
        <v>33</v>
      </c>
      <c r="L38" t="inlineStr">
        <is>
          <t>Flat</t>
        </is>
      </c>
      <c r="M38" t="n">
        <v>26</v>
      </c>
      <c r="N38" t="n">
        <v>309</v>
      </c>
      <c r="O38" t="n">
        <v>6</v>
      </c>
      <c r="P38" t="n">
        <v>7</v>
      </c>
      <c r="Q38" t="n">
        <v>15</v>
      </c>
      <c r="R38" t="n">
        <v>7.8</v>
      </c>
      <c r="S38" t="n">
        <v>66</v>
      </c>
      <c r="T38" t="n">
        <v>74.2</v>
      </c>
      <c r="U38" t="n">
        <v>2.6</v>
      </c>
      <c r="V38" t="n">
        <v>2457</v>
      </c>
      <c r="W38" t="n">
        <v>104</v>
      </c>
      <c r="X38" t="inlineStr">
        <is>
          <t>Easy effort</t>
        </is>
      </c>
    </row>
    <row r="39">
      <c r="A39" t="inlineStr">
        <is>
          <t>2026-03-19</t>
        </is>
      </c>
      <c r="B39" t="n">
        <v>9</v>
      </c>
      <c r="C39" t="n">
        <v>4</v>
      </c>
      <c r="D39" t="inlineStr">
        <is>
          <t>Cross-Train</t>
        </is>
      </c>
      <c r="E39" t="n">
        <v>0</v>
      </c>
      <c r="F39" t="n">
        <v>32</v>
      </c>
      <c r="G39" t="n">
        <v>126</v>
      </c>
      <c r="H39" t="n">
        <v>133</v>
      </c>
      <c r="I39" t="n">
        <v>5</v>
      </c>
      <c r="J39" t="inlineStr">
        <is>
          <t>Sunny</t>
        </is>
      </c>
      <c r="K39" t="n">
        <v>19</v>
      </c>
      <c r="L39" t="inlineStr">
        <is>
          <t>Mixed</t>
        </is>
      </c>
      <c r="M39" t="n">
        <v>14</v>
      </c>
      <c r="N39" t="n">
        <v>192</v>
      </c>
      <c r="O39" t="n">
        <v>10</v>
      </c>
      <c r="P39" t="n">
        <v>8</v>
      </c>
      <c r="Q39" t="n">
        <v>9</v>
      </c>
      <c r="R39" t="n">
        <v>7.5</v>
      </c>
      <c r="S39" t="n">
        <v>63</v>
      </c>
      <c r="T39" t="n">
        <v>73.59999999999999</v>
      </c>
      <c r="U39" t="n">
        <v>2.9</v>
      </c>
      <c r="V39" t="n">
        <v>2342</v>
      </c>
      <c r="W39" t="n">
        <v>137</v>
      </c>
      <c r="X39" t="inlineStr">
        <is>
          <t>Track session</t>
        </is>
      </c>
    </row>
    <row r="40">
      <c r="A40" t="inlineStr">
        <is>
          <t>2026-03-21</t>
        </is>
      </c>
      <c r="B40" t="n">
        <v>9</v>
      </c>
      <c r="C40" t="n">
        <v>6</v>
      </c>
      <c r="D40" t="inlineStr">
        <is>
          <t>Easy</t>
        </is>
      </c>
      <c r="E40" t="n">
        <v>3.1</v>
      </c>
      <c r="F40" t="n">
        <v>23</v>
      </c>
      <c r="G40" t="n">
        <v>133</v>
      </c>
      <c r="H40" t="n">
        <v>145</v>
      </c>
      <c r="I40" t="n">
        <v>5</v>
      </c>
      <c r="J40" t="inlineStr">
        <is>
          <t>Windy</t>
        </is>
      </c>
      <c r="K40" t="n">
        <v>13</v>
      </c>
      <c r="L40" t="inlineStr">
        <is>
          <t>Hilly</t>
        </is>
      </c>
      <c r="M40" t="n">
        <v>131</v>
      </c>
      <c r="N40" t="n">
        <v>270</v>
      </c>
      <c r="O40" t="n">
        <v>10</v>
      </c>
      <c r="P40" t="n">
        <v>8</v>
      </c>
      <c r="Q40" t="n">
        <v>6</v>
      </c>
      <c r="R40" t="n">
        <v>7.4</v>
      </c>
      <c r="S40" t="n">
        <v>63</v>
      </c>
      <c r="T40" t="n">
        <v>73.5</v>
      </c>
      <c r="U40" t="n">
        <v>3</v>
      </c>
      <c r="V40" t="n">
        <v>2064</v>
      </c>
      <c r="W40" t="n">
        <v>111</v>
      </c>
      <c r="X40" t="inlineStr">
        <is>
          <t>PR attempt</t>
        </is>
      </c>
    </row>
    <row r="41">
      <c r="A41" t="inlineStr">
        <is>
          <t>2026-03-22</t>
        </is>
      </c>
      <c r="B41" t="n">
        <v>9</v>
      </c>
      <c r="C41" t="n">
        <v>7</v>
      </c>
      <c r="D41" t="inlineStr">
        <is>
          <t>Long</t>
        </is>
      </c>
      <c r="E41" t="n">
        <v>7.5</v>
      </c>
      <c r="F41" t="n">
        <v>58</v>
      </c>
      <c r="G41" t="n">
        <v>133</v>
      </c>
      <c r="H41" t="n">
        <v>148</v>
      </c>
      <c r="I41" t="n">
        <v>5</v>
      </c>
      <c r="J41" t="inlineStr">
        <is>
          <t>Cold</t>
        </is>
      </c>
      <c r="K41" t="n">
        <v>-2</v>
      </c>
      <c r="L41" t="inlineStr">
        <is>
          <t>Mixed</t>
        </is>
      </c>
      <c r="M41" t="n">
        <v>22</v>
      </c>
      <c r="N41" t="n">
        <v>661</v>
      </c>
      <c r="O41" t="n">
        <v>8</v>
      </c>
      <c r="P41" t="n">
        <v>8</v>
      </c>
      <c r="Q41" t="n">
        <v>5</v>
      </c>
      <c r="R41" t="n">
        <v>6.6</v>
      </c>
      <c r="S41" t="n">
        <v>61</v>
      </c>
      <c r="T41" t="n">
        <v>73.8</v>
      </c>
      <c r="U41" t="n">
        <v>2.7</v>
      </c>
      <c r="V41" t="n">
        <v>2352</v>
      </c>
      <c r="W41" t="n">
        <v>138</v>
      </c>
      <c r="X41" t="inlineStr">
        <is>
          <t>Tired legs</t>
        </is>
      </c>
    </row>
    <row r="42">
      <c r="A42" t="inlineStr">
        <is>
          <t>2026-03-23</t>
        </is>
      </c>
      <c r="B42" t="n">
        <v>9</v>
      </c>
      <c r="C42" t="n">
        <v>1</v>
      </c>
      <c r="D42" t="inlineStr">
        <is>
          <t>Easy</t>
        </is>
      </c>
      <c r="E42" t="n">
        <v>4.1</v>
      </c>
      <c r="F42" t="n">
        <v>32</v>
      </c>
      <c r="G42" t="n">
        <v>146</v>
      </c>
      <c r="H42" t="n">
        <v>161</v>
      </c>
      <c r="I42" t="n">
        <v>3</v>
      </c>
      <c r="J42" t="inlineStr">
        <is>
          <t>Cloudy</t>
        </is>
      </c>
      <c r="K42" t="n">
        <v>14</v>
      </c>
      <c r="L42" t="inlineStr">
        <is>
          <t>Treadmill</t>
        </is>
      </c>
      <c r="M42" t="n">
        <v>5</v>
      </c>
      <c r="N42" t="n">
        <v>362</v>
      </c>
      <c r="O42" t="n">
        <v>9</v>
      </c>
      <c r="P42" t="n">
        <v>8</v>
      </c>
      <c r="Q42" t="n">
        <v>6</v>
      </c>
      <c r="R42" t="n">
        <v>6.7</v>
      </c>
      <c r="S42" t="n">
        <v>65</v>
      </c>
      <c r="T42" t="n">
        <v>74</v>
      </c>
      <c r="U42" t="n">
        <v>2.7</v>
      </c>
      <c r="V42" t="n">
        <v>2020</v>
      </c>
      <c r="W42" t="n">
        <v>131</v>
      </c>
      <c r="X42" t="inlineStr">
        <is>
          <t>Easy effort</t>
        </is>
      </c>
    </row>
    <row r="43">
      <c r="A43" t="inlineStr">
        <is>
          <t>2026-03-25</t>
        </is>
      </c>
      <c r="B43" t="n">
        <v>10</v>
      </c>
      <c r="C43" t="n">
        <v>3</v>
      </c>
      <c r="D43" t="inlineStr">
        <is>
          <t>Intervals</t>
        </is>
      </c>
      <c r="E43" t="n">
        <v>4</v>
      </c>
      <c r="F43" t="n">
        <v>25</v>
      </c>
      <c r="G43" t="n">
        <v>173</v>
      </c>
      <c r="H43" t="n">
        <v>195</v>
      </c>
      <c r="I43" t="n">
        <v>7</v>
      </c>
      <c r="J43" t="inlineStr">
        <is>
          <t>Cold</t>
        </is>
      </c>
      <c r="K43" t="n">
        <v>6</v>
      </c>
      <c r="L43" t="inlineStr">
        <is>
          <t>Mixed</t>
        </is>
      </c>
      <c r="M43" t="n">
        <v>9</v>
      </c>
      <c r="N43" t="n">
        <v>335</v>
      </c>
      <c r="O43" t="n">
        <v>5</v>
      </c>
      <c r="P43" t="n">
        <v>7</v>
      </c>
      <c r="Q43" t="n">
        <v>11</v>
      </c>
      <c r="R43" t="n">
        <v>7</v>
      </c>
      <c r="S43" t="n">
        <v>65</v>
      </c>
      <c r="T43" t="n">
        <v>73.59999999999999</v>
      </c>
      <c r="U43" t="n">
        <v>3.2</v>
      </c>
      <c r="V43" t="n">
        <v>2189</v>
      </c>
      <c r="W43" t="n">
        <v>136</v>
      </c>
      <c r="X43" t="inlineStr">
        <is>
          <t>New route</t>
        </is>
      </c>
    </row>
    <row r="44">
      <c r="A44" t="inlineStr">
        <is>
          <t>2026-03-26</t>
        </is>
      </c>
      <c r="B44" t="n">
        <v>10</v>
      </c>
      <c r="C44" t="n">
        <v>4</v>
      </c>
      <c r="D44" t="inlineStr">
        <is>
          <t>Recovery</t>
        </is>
      </c>
      <c r="E44" t="n">
        <v>3</v>
      </c>
      <c r="F44" t="n">
        <v>24</v>
      </c>
      <c r="G44" t="n">
        <v>136</v>
      </c>
      <c r="H44" t="n">
        <v>151</v>
      </c>
      <c r="I44" t="n">
        <v>3</v>
      </c>
      <c r="J44" t="inlineStr">
        <is>
          <t>Windy</t>
        </is>
      </c>
      <c r="K44" t="n">
        <v>19</v>
      </c>
      <c r="L44" t="inlineStr">
        <is>
          <t>Trail</t>
        </is>
      </c>
      <c r="M44" t="n">
        <v>68</v>
      </c>
      <c r="N44" t="n">
        <v>267</v>
      </c>
      <c r="O44" t="n">
        <v>10</v>
      </c>
      <c r="P44" t="n">
        <v>6</v>
      </c>
      <c r="Q44" t="n">
        <v>14</v>
      </c>
      <c r="R44" t="n">
        <v>7.1</v>
      </c>
      <c r="S44" t="n">
        <v>65</v>
      </c>
      <c r="T44" t="n">
        <v>73.8</v>
      </c>
      <c r="U44" t="n">
        <v>2.1</v>
      </c>
      <c r="V44" t="n">
        <v>2384</v>
      </c>
      <c r="W44" t="n">
        <v>135</v>
      </c>
      <c r="X44" t="inlineStr">
        <is>
          <t>Recovery run</t>
        </is>
      </c>
    </row>
    <row r="45">
      <c r="A45" t="inlineStr">
        <is>
          <t>2026-03-28</t>
        </is>
      </c>
      <c r="B45" t="n">
        <v>10</v>
      </c>
      <c r="C45" t="n">
        <v>6</v>
      </c>
      <c r="D45" t="inlineStr">
        <is>
          <t>Easy</t>
        </is>
      </c>
      <c r="E45" t="n">
        <v>4.3</v>
      </c>
      <c r="F45" t="n">
        <v>33</v>
      </c>
      <c r="G45" t="n">
        <v>136</v>
      </c>
      <c r="H45" t="n">
        <v>151</v>
      </c>
      <c r="I45" t="n">
        <v>3</v>
      </c>
      <c r="J45" t="inlineStr">
        <is>
          <t>Windy</t>
        </is>
      </c>
      <c r="K45" t="n">
        <v>8</v>
      </c>
      <c r="L45" t="inlineStr">
        <is>
          <t>Treadmill</t>
        </is>
      </c>
      <c r="M45" t="n">
        <v>19</v>
      </c>
      <c r="N45" t="n">
        <v>378</v>
      </c>
      <c r="O45" t="n">
        <v>5</v>
      </c>
      <c r="P45" t="n">
        <v>10</v>
      </c>
      <c r="Q45" t="n">
        <v>7</v>
      </c>
      <c r="R45" t="n">
        <v>7.2</v>
      </c>
      <c r="S45" t="n">
        <v>64</v>
      </c>
      <c r="T45" t="n">
        <v>74</v>
      </c>
      <c r="U45" t="n">
        <v>2.1</v>
      </c>
      <c r="V45" t="n">
        <v>2171</v>
      </c>
      <c r="W45" t="n">
        <v>111</v>
      </c>
      <c r="X45" t="inlineStr">
        <is>
          <t>Recovery run</t>
        </is>
      </c>
    </row>
    <row r="46">
      <c r="A46" t="inlineStr">
        <is>
          <t>2026-03-29</t>
        </is>
      </c>
      <c r="B46" t="n">
        <v>10</v>
      </c>
      <c r="C46" t="n">
        <v>7</v>
      </c>
      <c r="D46" t="inlineStr">
        <is>
          <t>Long</t>
        </is>
      </c>
      <c r="E46" t="n">
        <v>8.4</v>
      </c>
      <c r="F46" t="n">
        <v>64</v>
      </c>
      <c r="G46" t="n">
        <v>144</v>
      </c>
      <c r="H46" t="n">
        <v>157</v>
      </c>
      <c r="I46" t="n">
        <v>5</v>
      </c>
      <c r="J46" t="inlineStr">
        <is>
          <t>Sunny</t>
        </is>
      </c>
      <c r="K46" t="n">
        <v>12</v>
      </c>
      <c r="L46" t="inlineStr">
        <is>
          <t>Mixed</t>
        </is>
      </c>
      <c r="M46" t="n">
        <v>26</v>
      </c>
      <c r="N46" t="n">
        <v>738</v>
      </c>
      <c r="O46" t="n">
        <v>7</v>
      </c>
      <c r="P46" t="n">
        <v>6</v>
      </c>
      <c r="Q46" t="n">
        <v>6</v>
      </c>
      <c r="R46" t="n">
        <v>7.3</v>
      </c>
      <c r="S46" t="n">
        <v>59</v>
      </c>
      <c r="T46" t="n">
        <v>73.7</v>
      </c>
      <c r="U46" t="n">
        <v>3.1</v>
      </c>
      <c r="V46" t="n">
        <v>2002</v>
      </c>
      <c r="W46" t="n">
        <v>118</v>
      </c>
      <c r="X46" t="inlineStr">
        <is>
          <t>Good pace</t>
        </is>
      </c>
    </row>
    <row r="47">
      <c r="A47" t="inlineStr">
        <is>
          <t>2026-03-30</t>
        </is>
      </c>
      <c r="B47" t="n">
        <v>10</v>
      </c>
      <c r="C47" t="n">
        <v>1</v>
      </c>
      <c r="D47" t="inlineStr">
        <is>
          <t>Easy</t>
        </is>
      </c>
      <c r="E47" t="n">
        <v>4.8</v>
      </c>
      <c r="F47" t="n">
        <v>35</v>
      </c>
      <c r="G47" t="n">
        <v>133</v>
      </c>
      <c r="H47" t="n">
        <v>145</v>
      </c>
      <c r="I47" t="n">
        <v>4</v>
      </c>
      <c r="J47" t="inlineStr">
        <is>
          <t>Windy</t>
        </is>
      </c>
      <c r="K47" t="n">
        <v>23</v>
      </c>
      <c r="L47" t="inlineStr">
        <is>
          <t>Mixed</t>
        </is>
      </c>
      <c r="M47" t="n">
        <v>30</v>
      </c>
      <c r="N47" t="n">
        <v>417</v>
      </c>
      <c r="O47" t="n">
        <v>6</v>
      </c>
      <c r="P47" t="n">
        <v>6</v>
      </c>
      <c r="Q47" t="n">
        <v>7</v>
      </c>
      <c r="R47" t="n">
        <v>6.2</v>
      </c>
      <c r="S47" t="n">
        <v>65</v>
      </c>
      <c r="T47" t="n">
        <v>73.3</v>
      </c>
      <c r="U47" t="n">
        <v>3</v>
      </c>
      <c r="V47" t="n">
        <v>2409</v>
      </c>
      <c r="W47" t="n">
        <v>127</v>
      </c>
      <c r="X47" t="inlineStr">
        <is>
          <t>Easy effort</t>
        </is>
      </c>
    </row>
    <row r="48">
      <c r="A48" t="inlineStr">
        <is>
          <t>2026-04-01</t>
        </is>
      </c>
      <c r="B48" t="n">
        <v>11</v>
      </c>
      <c r="C48" t="n">
        <v>3</v>
      </c>
      <c r="D48" t="inlineStr">
        <is>
          <t>Intervals</t>
        </is>
      </c>
      <c r="E48" t="n">
        <v>4</v>
      </c>
      <c r="F48" t="n">
        <v>26</v>
      </c>
      <c r="G48" t="n">
        <v>171</v>
      </c>
      <c r="H48" t="n">
        <v>190</v>
      </c>
      <c r="I48" t="n">
        <v>7</v>
      </c>
      <c r="J48" t="inlineStr">
        <is>
          <t>Cold</t>
        </is>
      </c>
      <c r="K48" t="n">
        <v>2</v>
      </c>
      <c r="L48" t="inlineStr">
        <is>
          <t>Mixed</t>
        </is>
      </c>
      <c r="M48" t="n">
        <v>18</v>
      </c>
      <c r="N48" t="n">
        <v>338</v>
      </c>
      <c r="O48" t="n">
        <v>10</v>
      </c>
      <c r="P48" t="n">
        <v>7</v>
      </c>
      <c r="Q48" t="n">
        <v>12</v>
      </c>
      <c r="R48" t="n">
        <v>8.5</v>
      </c>
      <c r="S48" t="n">
        <v>60</v>
      </c>
      <c r="T48" t="n">
        <v>73.90000000000001</v>
      </c>
      <c r="U48" t="n">
        <v>3.3</v>
      </c>
      <c r="V48" t="n">
        <v>2009</v>
      </c>
      <c r="W48" t="n">
        <v>105</v>
      </c>
      <c r="X48" t="inlineStr">
        <is>
          <t>Recovery run</t>
        </is>
      </c>
    </row>
    <row r="49">
      <c r="A49" t="inlineStr">
        <is>
          <t>2026-04-02</t>
        </is>
      </c>
      <c r="B49" t="n">
        <v>11</v>
      </c>
      <c r="C49" t="n">
        <v>4</v>
      </c>
      <c r="D49" t="inlineStr">
        <is>
          <t>Recovery</t>
        </is>
      </c>
      <c r="E49" t="n">
        <v>3</v>
      </c>
      <c r="F49" t="n">
        <v>24</v>
      </c>
      <c r="G49" t="n">
        <v>141</v>
      </c>
      <c r="H49" t="n">
        <v>149</v>
      </c>
      <c r="I49" t="n">
        <v>3</v>
      </c>
      <c r="J49" t="inlineStr">
        <is>
          <t>Hot</t>
        </is>
      </c>
      <c r="K49" t="n">
        <v>26</v>
      </c>
      <c r="L49" t="inlineStr">
        <is>
          <t>Treadmill</t>
        </is>
      </c>
      <c r="M49" t="n">
        <v>28</v>
      </c>
      <c r="N49" t="n">
        <v>267</v>
      </c>
      <c r="O49" t="n">
        <v>8</v>
      </c>
      <c r="P49" t="n">
        <v>7</v>
      </c>
      <c r="Q49" t="n">
        <v>8</v>
      </c>
      <c r="R49" t="n">
        <v>7.8</v>
      </c>
      <c r="S49" t="n">
        <v>61</v>
      </c>
      <c r="T49" t="n">
        <v>73.09999999999999</v>
      </c>
      <c r="U49" t="n">
        <v>2.3</v>
      </c>
      <c r="V49" t="n">
        <v>2156</v>
      </c>
      <c r="W49" t="n">
        <v>133</v>
      </c>
      <c r="X49" t="inlineStr">
        <is>
          <t>Easy effort</t>
        </is>
      </c>
    </row>
    <row r="50">
      <c r="A50" t="inlineStr">
        <is>
          <t>2026-04-04</t>
        </is>
      </c>
      <c r="B50" t="n">
        <v>11</v>
      </c>
      <c r="C50" t="n">
        <v>6</v>
      </c>
      <c r="D50" t="inlineStr">
        <is>
          <t>Easy</t>
        </is>
      </c>
      <c r="E50" t="n">
        <v>4.8</v>
      </c>
      <c r="F50" t="n">
        <v>36</v>
      </c>
      <c r="G50" t="n">
        <v>141</v>
      </c>
      <c r="H50" t="n">
        <v>156</v>
      </c>
      <c r="I50" t="n">
        <v>3</v>
      </c>
      <c r="J50" t="inlineStr">
        <is>
          <t>Rainy</t>
        </is>
      </c>
      <c r="K50" t="n">
        <v>15</v>
      </c>
      <c r="L50" t="inlineStr">
        <is>
          <t>Mixed</t>
        </is>
      </c>
      <c r="M50" t="n">
        <v>18</v>
      </c>
      <c r="N50" t="n">
        <v>420</v>
      </c>
      <c r="O50" t="n">
        <v>6</v>
      </c>
      <c r="P50" t="n">
        <v>6</v>
      </c>
      <c r="Q50" t="n">
        <v>7</v>
      </c>
      <c r="R50" t="n">
        <v>8.4</v>
      </c>
      <c r="S50" t="n">
        <v>61</v>
      </c>
      <c r="T50" t="n">
        <v>73.40000000000001</v>
      </c>
      <c r="U50" t="n">
        <v>3.4</v>
      </c>
      <c r="V50" t="n">
        <v>2068</v>
      </c>
      <c r="W50" t="n">
        <v>106</v>
      </c>
      <c r="X50" t="inlineStr">
        <is>
          <t>Cold morning</t>
        </is>
      </c>
    </row>
    <row r="51">
      <c r="A51" t="inlineStr">
        <is>
          <t>2026-04-05</t>
        </is>
      </c>
      <c r="B51" t="n">
        <v>11</v>
      </c>
      <c r="C51" t="n">
        <v>7</v>
      </c>
      <c r="D51" t="inlineStr">
        <is>
          <t>Long</t>
        </is>
      </c>
      <c r="E51" t="n">
        <v>8.1</v>
      </c>
      <c r="F51" t="n">
        <v>62</v>
      </c>
      <c r="G51" t="n">
        <v>135</v>
      </c>
      <c r="H51" t="n">
        <v>150</v>
      </c>
      <c r="I51" t="n">
        <v>7</v>
      </c>
      <c r="J51" t="inlineStr">
        <is>
          <t>Windy</t>
        </is>
      </c>
      <c r="K51" t="n">
        <v>22</v>
      </c>
      <c r="L51" t="inlineStr">
        <is>
          <t>Trail</t>
        </is>
      </c>
      <c r="M51" t="n">
        <v>43</v>
      </c>
      <c r="N51" t="n">
        <v>712</v>
      </c>
      <c r="O51" t="n">
        <v>8</v>
      </c>
      <c r="P51" t="n">
        <v>5</v>
      </c>
      <c r="Q51" t="n">
        <v>9</v>
      </c>
      <c r="R51" t="n">
        <v>7.6</v>
      </c>
      <c r="S51" t="n">
        <v>62</v>
      </c>
      <c r="T51" t="n">
        <v>73.2</v>
      </c>
      <c r="U51" t="n">
        <v>3.1</v>
      </c>
      <c r="V51" t="n">
        <v>2168</v>
      </c>
      <c r="W51" t="n">
        <v>127</v>
      </c>
      <c r="X51" t="inlineStr">
        <is>
          <t>Recovery run</t>
        </is>
      </c>
    </row>
    <row r="52">
      <c r="A52" t="inlineStr">
        <is>
          <t>2026-04-06</t>
        </is>
      </c>
      <c r="B52" t="n">
        <v>11</v>
      </c>
      <c r="C52" t="n">
        <v>1</v>
      </c>
      <c r="D52" t="inlineStr">
        <is>
          <t>Easy</t>
        </is>
      </c>
      <c r="E52" t="n">
        <v>4.9</v>
      </c>
      <c r="F52" t="n">
        <v>35</v>
      </c>
      <c r="G52" t="n">
        <v>138</v>
      </c>
      <c r="H52" t="n">
        <v>153</v>
      </c>
      <c r="I52" t="n">
        <v>3</v>
      </c>
      <c r="J52" t="inlineStr">
        <is>
          <t>Hot</t>
        </is>
      </c>
      <c r="K52" t="n">
        <v>27</v>
      </c>
      <c r="L52" t="inlineStr">
        <is>
          <t>Mixed</t>
        </is>
      </c>
      <c r="M52" t="n">
        <v>19</v>
      </c>
      <c r="N52" t="n">
        <v>423</v>
      </c>
      <c r="O52" t="n">
        <v>10</v>
      </c>
      <c r="P52" t="n">
        <v>7</v>
      </c>
      <c r="Q52" t="n">
        <v>15</v>
      </c>
      <c r="R52" t="n">
        <v>7.2</v>
      </c>
      <c r="S52" t="n">
        <v>60</v>
      </c>
      <c r="T52" t="n">
        <v>72.90000000000001</v>
      </c>
      <c r="U52" t="n">
        <v>2.1</v>
      </c>
      <c r="V52" t="n">
        <v>2404</v>
      </c>
      <c r="W52" t="n">
        <v>97</v>
      </c>
      <c r="X52" t="inlineStr">
        <is>
          <t>Pushed hard</t>
        </is>
      </c>
    </row>
    <row r="53">
      <c r="A53" t="inlineStr">
        <is>
          <t>2026-04-08</t>
        </is>
      </c>
      <c r="B53" t="n">
        <v>12</v>
      </c>
      <c r="C53" t="n">
        <v>3</v>
      </c>
      <c r="D53" t="inlineStr">
        <is>
          <t>Tempo</t>
        </is>
      </c>
      <c r="E53" t="n">
        <v>3.9</v>
      </c>
      <c r="F53" t="n">
        <v>24</v>
      </c>
      <c r="G53" t="n">
        <v>159</v>
      </c>
      <c r="H53" t="n">
        <v>177</v>
      </c>
      <c r="I53" t="n">
        <v>8</v>
      </c>
      <c r="J53" t="inlineStr">
        <is>
          <t>Hot</t>
        </is>
      </c>
      <c r="K53" t="n">
        <v>27</v>
      </c>
      <c r="L53" t="inlineStr">
        <is>
          <t>Track</t>
        </is>
      </c>
      <c r="M53" t="n">
        <v>24</v>
      </c>
      <c r="N53" t="n">
        <v>325</v>
      </c>
      <c r="O53" t="n">
        <v>8</v>
      </c>
      <c r="P53" t="n">
        <v>7</v>
      </c>
      <c r="Q53" t="n">
        <v>5</v>
      </c>
      <c r="R53" t="n">
        <v>8.1</v>
      </c>
      <c r="S53" t="n">
        <v>60</v>
      </c>
      <c r="T53" t="n">
        <v>73.2</v>
      </c>
      <c r="U53" t="n">
        <v>3.4</v>
      </c>
      <c r="V53" t="n">
        <v>2271</v>
      </c>
      <c r="W53" t="n">
        <v>96</v>
      </c>
      <c r="X53" t="inlineStr">
        <is>
          <t>Hill repeats</t>
        </is>
      </c>
    </row>
    <row r="54">
      <c r="A54" t="inlineStr">
        <is>
          <t>2026-04-09</t>
        </is>
      </c>
      <c r="B54" t="n">
        <v>12</v>
      </c>
      <c r="C54" t="n">
        <v>4</v>
      </c>
      <c r="D54" t="inlineStr">
        <is>
          <t>Recovery</t>
        </is>
      </c>
      <c r="E54" t="n">
        <v>3</v>
      </c>
      <c r="F54" t="n">
        <v>24</v>
      </c>
      <c r="G54" t="n">
        <v>132</v>
      </c>
      <c r="H54" t="n">
        <v>146</v>
      </c>
      <c r="I54" t="n">
        <v>2</v>
      </c>
      <c r="J54" t="inlineStr">
        <is>
          <t>Cloudy</t>
        </is>
      </c>
      <c r="K54" t="n">
        <v>25</v>
      </c>
      <c r="L54" t="inlineStr">
        <is>
          <t>Mixed</t>
        </is>
      </c>
      <c r="M54" t="n">
        <v>24</v>
      </c>
      <c r="N54" t="n">
        <v>267</v>
      </c>
      <c r="O54" t="n">
        <v>5</v>
      </c>
      <c r="P54" t="n">
        <v>5</v>
      </c>
      <c r="Q54" t="n">
        <v>10</v>
      </c>
      <c r="R54" t="n">
        <v>6.7</v>
      </c>
      <c r="S54" t="n">
        <v>60</v>
      </c>
      <c r="T54" t="n">
        <v>73.5</v>
      </c>
      <c r="U54" t="n">
        <v>2.3</v>
      </c>
      <c r="V54" t="n">
        <v>2467</v>
      </c>
      <c r="W54" t="n">
        <v>103</v>
      </c>
    </row>
    <row r="55">
      <c r="A55" t="inlineStr">
        <is>
          <t>2026-04-11</t>
        </is>
      </c>
      <c r="B55" t="n">
        <v>12</v>
      </c>
      <c r="C55" t="n">
        <v>6</v>
      </c>
      <c r="D55" t="inlineStr">
        <is>
          <t>Easy</t>
        </is>
      </c>
      <c r="E55" t="n">
        <v>4.7</v>
      </c>
      <c r="F55" t="n">
        <v>35</v>
      </c>
      <c r="G55" t="n">
        <v>135</v>
      </c>
      <c r="H55" t="n">
        <v>143</v>
      </c>
      <c r="I55" t="n">
        <v>4</v>
      </c>
      <c r="J55" t="inlineStr">
        <is>
          <t>Sunny</t>
        </is>
      </c>
      <c r="K55" t="n">
        <v>5</v>
      </c>
      <c r="L55" t="inlineStr">
        <is>
          <t>Hilly</t>
        </is>
      </c>
      <c r="M55" t="n">
        <v>23</v>
      </c>
      <c r="N55" t="n">
        <v>410</v>
      </c>
      <c r="O55" t="n">
        <v>7</v>
      </c>
      <c r="P55" t="n">
        <v>6</v>
      </c>
      <c r="Q55" t="n">
        <v>14</v>
      </c>
      <c r="R55" t="n">
        <v>7</v>
      </c>
      <c r="S55" t="n">
        <v>60</v>
      </c>
      <c r="T55" t="n">
        <v>73</v>
      </c>
      <c r="U55" t="n">
        <v>2.2</v>
      </c>
      <c r="V55" t="n">
        <v>2331</v>
      </c>
      <c r="W55" t="n">
        <v>123</v>
      </c>
      <c r="X55" t="inlineStr">
        <is>
          <t>Pushed hard</t>
        </is>
      </c>
    </row>
    <row r="56">
      <c r="A56" t="inlineStr">
        <is>
          <t>2026-04-12</t>
        </is>
      </c>
      <c r="B56" t="n">
        <v>12</v>
      </c>
      <c r="C56" t="n">
        <v>7</v>
      </c>
      <c r="D56" t="inlineStr">
        <is>
          <t>Long</t>
        </is>
      </c>
      <c r="E56" t="n">
        <v>8.6</v>
      </c>
      <c r="F56" t="n">
        <v>65</v>
      </c>
      <c r="G56" t="n">
        <v>147</v>
      </c>
      <c r="H56" t="n">
        <v>156</v>
      </c>
      <c r="I56" t="n">
        <v>5</v>
      </c>
      <c r="J56" t="inlineStr">
        <is>
          <t>Hot</t>
        </is>
      </c>
      <c r="K56" t="n">
        <v>34</v>
      </c>
      <c r="L56" t="inlineStr">
        <is>
          <t>Trail</t>
        </is>
      </c>
      <c r="M56" t="n">
        <v>137</v>
      </c>
      <c r="N56" t="n">
        <v>754</v>
      </c>
      <c r="O56" t="n">
        <v>10</v>
      </c>
      <c r="P56" t="n">
        <v>5</v>
      </c>
      <c r="Q56" t="n">
        <v>5</v>
      </c>
      <c r="R56" t="n">
        <v>9</v>
      </c>
      <c r="S56" t="n">
        <v>65</v>
      </c>
      <c r="T56" t="n">
        <v>73.09999999999999</v>
      </c>
      <c r="U56" t="n">
        <v>3</v>
      </c>
      <c r="V56" t="n">
        <v>2402</v>
      </c>
      <c r="W56" t="n">
        <v>135</v>
      </c>
      <c r="X56" t="inlineStr">
        <is>
          <t>Hot day</t>
        </is>
      </c>
    </row>
    <row r="57">
      <c r="A57" t="inlineStr">
        <is>
          <t>2026-04-16</t>
        </is>
      </c>
      <c r="B57" t="n">
        <v>13</v>
      </c>
      <c r="C57" t="n">
        <v>4</v>
      </c>
      <c r="D57" t="inlineStr">
        <is>
          <t>Cross-Train</t>
        </is>
      </c>
      <c r="E57" t="n">
        <v>0</v>
      </c>
      <c r="F57" t="n">
        <v>34</v>
      </c>
      <c r="G57" t="n">
        <v>133</v>
      </c>
      <c r="H57" t="n">
        <v>147</v>
      </c>
      <c r="I57" t="n">
        <v>5</v>
      </c>
      <c r="J57" t="inlineStr">
        <is>
          <t>Cold</t>
        </is>
      </c>
      <c r="K57" t="n">
        <v>6</v>
      </c>
      <c r="L57" t="inlineStr">
        <is>
          <t>Trail</t>
        </is>
      </c>
      <c r="M57" t="n">
        <v>136</v>
      </c>
      <c r="N57" t="n">
        <v>204</v>
      </c>
      <c r="O57" t="n">
        <v>9</v>
      </c>
      <c r="P57" t="n">
        <v>9</v>
      </c>
      <c r="Q57" t="n">
        <v>11</v>
      </c>
      <c r="R57" t="n">
        <v>6.3</v>
      </c>
      <c r="S57" t="n">
        <v>64</v>
      </c>
      <c r="T57" t="n">
        <v>72.7</v>
      </c>
      <c r="U57" t="n">
        <v>3</v>
      </c>
      <c r="V57" t="n">
        <v>2464</v>
      </c>
      <c r="W57" t="n">
        <v>136</v>
      </c>
      <c r="X57" t="inlineStr">
        <is>
          <t>Struggled early</t>
        </is>
      </c>
    </row>
    <row r="58">
      <c r="A58" t="inlineStr">
        <is>
          <t>2026-04-18</t>
        </is>
      </c>
      <c r="B58" t="n">
        <v>13</v>
      </c>
      <c r="C58" t="n">
        <v>6</v>
      </c>
      <c r="D58" t="inlineStr">
        <is>
          <t>Easy</t>
        </is>
      </c>
      <c r="E58" t="n">
        <v>4.8</v>
      </c>
      <c r="F58" t="n">
        <v>36</v>
      </c>
      <c r="G58" t="n">
        <v>145</v>
      </c>
      <c r="H58" t="n">
        <v>159</v>
      </c>
      <c r="I58" t="n">
        <v>4</v>
      </c>
      <c r="J58" t="inlineStr">
        <is>
          <t>Hot</t>
        </is>
      </c>
      <c r="K58" t="n">
        <v>30</v>
      </c>
      <c r="L58" t="inlineStr">
        <is>
          <t>Trail</t>
        </is>
      </c>
      <c r="M58" t="n">
        <v>59</v>
      </c>
      <c r="N58" t="n">
        <v>420</v>
      </c>
      <c r="O58" t="n">
        <v>10</v>
      </c>
      <c r="P58" t="n">
        <v>8</v>
      </c>
      <c r="Q58" t="n">
        <v>6</v>
      </c>
      <c r="R58" t="n">
        <v>6.3</v>
      </c>
      <c r="S58" t="n">
        <v>59</v>
      </c>
      <c r="T58" t="n">
        <v>72.59999999999999</v>
      </c>
      <c r="U58" t="n">
        <v>2.1</v>
      </c>
      <c r="V58" t="n">
        <v>2281</v>
      </c>
      <c r="W58" t="n">
        <v>98</v>
      </c>
      <c r="X58" t="inlineStr">
        <is>
          <t>Perfect conditions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0" customWidth="1" min="9" max="9"/>
    <col width="8" customWidth="1" min="10" max="10"/>
    <col width="8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>
        <is>
          <t>Workout Analysis - Calculated Metrics</t>
        </is>
      </c>
    </row>
    <row r="3">
      <c r="A3" s="7" t="inlineStr">
        <is>
          <t>Date</t>
        </is>
      </c>
      <c r="B3" s="7" t="inlineStr">
        <is>
          <t>Week</t>
        </is>
      </c>
      <c r="C3" s="7" t="inlineStr">
        <is>
          <t>Type</t>
        </is>
      </c>
      <c r="D3" s="7" t="inlineStr">
        <is>
          <t>Distance</t>
        </is>
      </c>
      <c r="E3" s="7" t="inlineStr">
        <is>
          <t>Time</t>
        </is>
      </c>
      <c r="F3" s="7" t="inlineStr">
        <is>
          <t>Pace (min/km)</t>
        </is>
      </c>
      <c r="G3" s="7" t="inlineStr">
        <is>
          <t>vs Target Pace</t>
        </is>
      </c>
      <c r="H3" s="7" t="inlineStr">
        <is>
          <t>Pace Zone</t>
        </is>
      </c>
      <c r="I3" s="7" t="inlineStr">
        <is>
          <t>Pace Score</t>
        </is>
      </c>
      <c r="J3" s="7" t="inlineStr">
        <is>
          <t>Avg HR</t>
        </is>
      </c>
      <c r="K3" s="7" t="inlineStr">
        <is>
          <t>HR Zone</t>
        </is>
      </c>
      <c r="L3" s="7" t="inlineStr">
        <is>
          <t>HR Efficiency</t>
        </is>
      </c>
      <c r="M3" s="7" t="inlineStr">
        <is>
          <t>Cardiac Drift</t>
        </is>
      </c>
      <c r="N3" s="7" t="inlineStr">
        <is>
          <t>Training Load</t>
        </is>
      </c>
      <c r="O3" s="7" t="inlineStr">
        <is>
          <t>Fatigue Score</t>
        </is>
      </c>
      <c r="P3" s="7" t="inlineStr">
        <is>
          <t>Recovery Need</t>
        </is>
      </c>
      <c r="Q3" s="7" t="inlineStr">
        <is>
          <t>Weekly Volume</t>
        </is>
      </c>
      <c r="R3" s="7" t="inlineStr">
        <is>
          <t>Cumulative Distance</t>
        </is>
      </c>
    </row>
    <row r="4">
      <c r="A4">
        <f>'Workout Log'!A4</f>
        <v/>
      </c>
      <c r="B4">
        <f>'Workout Log'!B4</f>
        <v/>
      </c>
      <c r="C4">
        <f>'Workout Log'!D4</f>
        <v/>
      </c>
      <c r="D4">
        <f>'Workout Log'!E4</f>
        <v/>
      </c>
      <c r="E4">
        <f>'Workout Log'!F4</f>
        <v/>
      </c>
      <c r="F4" s="5">
        <f>IF(AND(D4&lt;&gt;"",D4&gt;0,E4&lt;&gt;""),E4/D4,"")</f>
        <v/>
      </c>
      <c r="G4" s="8">
        <f>IF(F4&lt;&gt;"",F4-TargetPace,"")</f>
        <v/>
      </c>
      <c r="H4">
        <f>IF(F4="","",IF(F4&lt;=IntervalPace,"Sprint",IF(F4&lt;=TempoPace,"Tempo",IF(F4&lt;=EasyPace,"Easy","Recovery"))))</f>
        <v/>
      </c>
      <c r="I4">
        <f>IF(G4="","",IF(G4&lt;=-0.5,10,IF(G4&lt;=0,8,IF(G4&lt;=0.5,6,IF(G4&lt;=1,4,2)))))</f>
        <v/>
      </c>
      <c r="J4">
        <f>'Workout Log'!G4</f>
        <v/>
      </c>
      <c r="K4">
        <f>IF(J4="","",IF(J4&lt;=MaxHR*0.6,"Z1",IF(J4&lt;=MaxHR*0.7,"Z2",IF(J4&lt;=MaxHR*0.8,"Z3",IF(J4&lt;=MaxHR*0.9,"Z4","Z5")))))</f>
        <v/>
      </c>
      <c r="L4" s="5">
        <f>IF(AND(F4&lt;&gt;"",J4&lt;&gt;""),ROUND(F4/(J4/100),2),"")</f>
        <v/>
      </c>
      <c r="M4">
        <f>IF(AND('Workout Log'!G4&lt;&gt;"",'Workout Log'!H4&lt;&gt;""),'Workout Log'!H4-'Workout Log'!G4,"")</f>
        <v/>
      </c>
      <c r="N4">
        <f>IF(AND(E4&lt;&gt;"",J4&lt;&gt;""),ROUND((E4*(J4-RestingHR)/(MaxHR-RestingHR))*10,1),"")</f>
        <v/>
      </c>
      <c r="O4">
        <f>IF(AND('Workout Log'!I4&lt;&gt;"",E4&lt;&gt;""),ROUND('Workout Log'!I4*(E4/30),1),"")</f>
        <v/>
      </c>
      <c r="P4">
        <f>IF(O4="","",IF(O4&gt;=8,"High",IF(O4&gt;=5,"Medium","Low")))</f>
        <v/>
      </c>
      <c r="Q4" s="9">
        <f>SUMIFS(D:D,B:B,B4)</f>
        <v/>
      </c>
      <c r="R4" s="9">
        <f>SUM(D$4:D4)</f>
        <v/>
      </c>
    </row>
    <row r="5">
      <c r="A5">
        <f>'Workout Log'!A5</f>
        <v/>
      </c>
      <c r="B5">
        <f>'Workout Log'!B5</f>
        <v/>
      </c>
      <c r="C5">
        <f>'Workout Log'!D5</f>
        <v/>
      </c>
      <c r="D5">
        <f>'Workout Log'!E5</f>
        <v/>
      </c>
      <c r="E5">
        <f>'Workout Log'!F5</f>
        <v/>
      </c>
      <c r="F5" s="5">
        <f>IF(AND(D5&lt;&gt;"",D5&gt;0,E5&lt;&gt;""),E5/D5,"")</f>
        <v/>
      </c>
      <c r="G5" s="8">
        <f>IF(F5&lt;&gt;"",F5-TargetPace,"")</f>
        <v/>
      </c>
      <c r="H5">
        <f>IF(F5="","",IF(F5&lt;=IntervalPace,"Sprint",IF(F5&lt;=TempoPace,"Tempo",IF(F5&lt;=EasyPace,"Easy","Recovery"))))</f>
        <v/>
      </c>
      <c r="I5">
        <f>IF(G5="","",IF(G5&lt;=-0.5,10,IF(G5&lt;=0,8,IF(G5&lt;=0.5,6,IF(G5&lt;=1,4,2)))))</f>
        <v/>
      </c>
      <c r="J5">
        <f>'Workout Log'!G5</f>
        <v/>
      </c>
      <c r="K5">
        <f>IF(J5="","",IF(J5&lt;=MaxHR*0.6,"Z1",IF(J5&lt;=MaxHR*0.7,"Z2",IF(J5&lt;=MaxHR*0.8,"Z3",IF(J5&lt;=MaxHR*0.9,"Z4","Z5")))))</f>
        <v/>
      </c>
      <c r="L5" s="5">
        <f>IF(AND(F5&lt;&gt;"",J5&lt;&gt;""),ROUND(F5/(J5/100),2),"")</f>
        <v/>
      </c>
      <c r="M5">
        <f>IF(AND('Workout Log'!G5&lt;&gt;"",'Workout Log'!H5&lt;&gt;""),'Workout Log'!H5-'Workout Log'!G5,"")</f>
        <v/>
      </c>
      <c r="N5">
        <f>IF(AND(E5&lt;&gt;"",J5&lt;&gt;""),ROUND((E5*(J5-RestingHR)/(MaxHR-RestingHR))*10,1),"")</f>
        <v/>
      </c>
      <c r="O5">
        <f>IF(AND('Workout Log'!I5&lt;&gt;"",E5&lt;&gt;""),ROUND('Workout Log'!I5*(E5/30),1),"")</f>
        <v/>
      </c>
      <c r="P5">
        <f>IF(O5="","",IF(O5&gt;=8,"High",IF(O5&gt;=5,"Medium","Low")))</f>
        <v/>
      </c>
      <c r="Q5" s="9">
        <f>SUMIFS(D:D,B:B,B5)</f>
        <v/>
      </c>
      <c r="R5" s="9">
        <f>SUM(D$4:D5)</f>
        <v/>
      </c>
    </row>
    <row r="6">
      <c r="A6">
        <f>'Workout Log'!A6</f>
        <v/>
      </c>
      <c r="B6">
        <f>'Workout Log'!B6</f>
        <v/>
      </c>
      <c r="C6">
        <f>'Workout Log'!D6</f>
        <v/>
      </c>
      <c r="D6">
        <f>'Workout Log'!E6</f>
        <v/>
      </c>
      <c r="E6">
        <f>'Workout Log'!F6</f>
        <v/>
      </c>
      <c r="F6" s="5">
        <f>IF(AND(D6&lt;&gt;"",D6&gt;0,E6&lt;&gt;""),E6/D6,"")</f>
        <v/>
      </c>
      <c r="G6" s="8">
        <f>IF(F6&lt;&gt;"",F6-TargetPace,"")</f>
        <v/>
      </c>
      <c r="H6">
        <f>IF(F6="","",IF(F6&lt;=IntervalPace,"Sprint",IF(F6&lt;=TempoPace,"Tempo",IF(F6&lt;=EasyPace,"Easy","Recovery"))))</f>
        <v/>
      </c>
      <c r="I6">
        <f>IF(G6="","",IF(G6&lt;=-0.5,10,IF(G6&lt;=0,8,IF(G6&lt;=0.5,6,IF(G6&lt;=1,4,2)))))</f>
        <v/>
      </c>
      <c r="J6">
        <f>'Workout Log'!G6</f>
        <v/>
      </c>
      <c r="K6">
        <f>IF(J6="","",IF(J6&lt;=MaxHR*0.6,"Z1",IF(J6&lt;=MaxHR*0.7,"Z2",IF(J6&lt;=MaxHR*0.8,"Z3",IF(J6&lt;=MaxHR*0.9,"Z4","Z5")))))</f>
        <v/>
      </c>
      <c r="L6" s="5">
        <f>IF(AND(F6&lt;&gt;"",J6&lt;&gt;""),ROUND(F6/(J6/100),2),"")</f>
        <v/>
      </c>
      <c r="M6">
        <f>IF(AND('Workout Log'!G6&lt;&gt;"",'Workout Log'!H6&lt;&gt;""),'Workout Log'!H6-'Workout Log'!G6,"")</f>
        <v/>
      </c>
      <c r="N6">
        <f>IF(AND(E6&lt;&gt;"",J6&lt;&gt;""),ROUND((E6*(J6-RestingHR)/(MaxHR-RestingHR))*10,1),"")</f>
        <v/>
      </c>
      <c r="O6">
        <f>IF(AND('Workout Log'!I6&lt;&gt;"",E6&lt;&gt;""),ROUND('Workout Log'!I6*(E6/30),1),"")</f>
        <v/>
      </c>
      <c r="P6">
        <f>IF(O6="","",IF(O6&gt;=8,"High",IF(O6&gt;=5,"Medium","Low")))</f>
        <v/>
      </c>
      <c r="Q6" s="9">
        <f>SUMIFS(D:D,B:B,B6)</f>
        <v/>
      </c>
      <c r="R6" s="9">
        <f>SUM(D$4:D6)</f>
        <v/>
      </c>
    </row>
    <row r="7">
      <c r="A7">
        <f>'Workout Log'!A7</f>
        <v/>
      </c>
      <c r="B7">
        <f>'Workout Log'!B7</f>
        <v/>
      </c>
      <c r="C7">
        <f>'Workout Log'!D7</f>
        <v/>
      </c>
      <c r="D7">
        <f>'Workout Log'!E7</f>
        <v/>
      </c>
      <c r="E7">
        <f>'Workout Log'!F7</f>
        <v/>
      </c>
      <c r="F7" s="5">
        <f>IF(AND(D7&lt;&gt;"",D7&gt;0,E7&lt;&gt;""),E7/D7,"")</f>
        <v/>
      </c>
      <c r="G7" s="8">
        <f>IF(F7&lt;&gt;"",F7-TargetPace,"")</f>
        <v/>
      </c>
      <c r="H7">
        <f>IF(F7="","",IF(F7&lt;=IntervalPace,"Sprint",IF(F7&lt;=TempoPace,"Tempo",IF(F7&lt;=EasyPace,"Easy","Recovery"))))</f>
        <v/>
      </c>
      <c r="I7">
        <f>IF(G7="","",IF(G7&lt;=-0.5,10,IF(G7&lt;=0,8,IF(G7&lt;=0.5,6,IF(G7&lt;=1,4,2)))))</f>
        <v/>
      </c>
      <c r="J7">
        <f>'Workout Log'!G7</f>
        <v/>
      </c>
      <c r="K7">
        <f>IF(J7="","",IF(J7&lt;=MaxHR*0.6,"Z1",IF(J7&lt;=MaxHR*0.7,"Z2",IF(J7&lt;=MaxHR*0.8,"Z3",IF(J7&lt;=MaxHR*0.9,"Z4","Z5")))))</f>
        <v/>
      </c>
      <c r="L7" s="5">
        <f>IF(AND(F7&lt;&gt;"",J7&lt;&gt;""),ROUND(F7/(J7/100),2),"")</f>
        <v/>
      </c>
      <c r="M7">
        <f>IF(AND('Workout Log'!G7&lt;&gt;"",'Workout Log'!H7&lt;&gt;""),'Workout Log'!H7-'Workout Log'!G7,"")</f>
        <v/>
      </c>
      <c r="N7">
        <f>IF(AND(E7&lt;&gt;"",J7&lt;&gt;""),ROUND((E7*(J7-RestingHR)/(MaxHR-RestingHR))*10,1),"")</f>
        <v/>
      </c>
      <c r="O7">
        <f>IF(AND('Workout Log'!I7&lt;&gt;"",E7&lt;&gt;""),ROUND('Workout Log'!I7*(E7/30),1),"")</f>
        <v/>
      </c>
      <c r="P7">
        <f>IF(O7="","",IF(O7&gt;=8,"High",IF(O7&gt;=5,"Medium","Low")))</f>
        <v/>
      </c>
      <c r="Q7" s="9">
        <f>SUMIFS(D:D,B:B,B7)</f>
        <v/>
      </c>
      <c r="R7" s="9">
        <f>SUM(D$4:D7)</f>
        <v/>
      </c>
    </row>
    <row r="8">
      <c r="A8">
        <f>'Workout Log'!A8</f>
        <v/>
      </c>
      <c r="B8">
        <f>'Workout Log'!B8</f>
        <v/>
      </c>
      <c r="C8">
        <f>'Workout Log'!D8</f>
        <v/>
      </c>
      <c r="D8">
        <f>'Workout Log'!E8</f>
        <v/>
      </c>
      <c r="E8">
        <f>'Workout Log'!F8</f>
        <v/>
      </c>
      <c r="F8" s="5">
        <f>IF(AND(D8&lt;&gt;"",D8&gt;0,E8&lt;&gt;""),E8/D8,"")</f>
        <v/>
      </c>
      <c r="G8" s="8">
        <f>IF(F8&lt;&gt;"",F8-TargetPace,"")</f>
        <v/>
      </c>
      <c r="H8">
        <f>IF(F8="","",IF(F8&lt;=IntervalPace,"Sprint",IF(F8&lt;=TempoPace,"Tempo",IF(F8&lt;=EasyPace,"Easy","Recovery"))))</f>
        <v/>
      </c>
      <c r="I8">
        <f>IF(G8="","",IF(G8&lt;=-0.5,10,IF(G8&lt;=0,8,IF(G8&lt;=0.5,6,IF(G8&lt;=1,4,2)))))</f>
        <v/>
      </c>
      <c r="J8">
        <f>'Workout Log'!G8</f>
        <v/>
      </c>
      <c r="K8">
        <f>IF(J8="","",IF(J8&lt;=MaxHR*0.6,"Z1",IF(J8&lt;=MaxHR*0.7,"Z2",IF(J8&lt;=MaxHR*0.8,"Z3",IF(J8&lt;=MaxHR*0.9,"Z4","Z5")))))</f>
        <v/>
      </c>
      <c r="L8" s="5">
        <f>IF(AND(F8&lt;&gt;"",J8&lt;&gt;""),ROUND(F8/(J8/100),2),"")</f>
        <v/>
      </c>
      <c r="M8">
        <f>IF(AND('Workout Log'!G8&lt;&gt;"",'Workout Log'!H8&lt;&gt;""),'Workout Log'!H8-'Workout Log'!G8,"")</f>
        <v/>
      </c>
      <c r="N8">
        <f>IF(AND(E8&lt;&gt;"",J8&lt;&gt;""),ROUND((E8*(J8-RestingHR)/(MaxHR-RestingHR))*10,1),"")</f>
        <v/>
      </c>
      <c r="O8">
        <f>IF(AND('Workout Log'!I8&lt;&gt;"",E8&lt;&gt;""),ROUND('Workout Log'!I8*(E8/30),1),"")</f>
        <v/>
      </c>
      <c r="P8">
        <f>IF(O8="","",IF(O8&gt;=8,"High",IF(O8&gt;=5,"Medium","Low")))</f>
        <v/>
      </c>
      <c r="Q8" s="9">
        <f>SUMIFS(D:D,B:B,B8)</f>
        <v/>
      </c>
      <c r="R8" s="9">
        <f>SUM(D$4:D8)</f>
        <v/>
      </c>
    </row>
    <row r="9">
      <c r="A9">
        <f>'Workout Log'!A9</f>
        <v/>
      </c>
      <c r="B9">
        <f>'Workout Log'!B9</f>
        <v/>
      </c>
      <c r="C9">
        <f>'Workout Log'!D9</f>
        <v/>
      </c>
      <c r="D9">
        <f>'Workout Log'!E9</f>
        <v/>
      </c>
      <c r="E9">
        <f>'Workout Log'!F9</f>
        <v/>
      </c>
      <c r="F9" s="5">
        <f>IF(AND(D9&lt;&gt;"",D9&gt;0,E9&lt;&gt;""),E9/D9,"")</f>
        <v/>
      </c>
      <c r="G9" s="8">
        <f>IF(F9&lt;&gt;"",F9-TargetPace,"")</f>
        <v/>
      </c>
      <c r="H9">
        <f>IF(F9="","",IF(F9&lt;=IntervalPace,"Sprint",IF(F9&lt;=TempoPace,"Tempo",IF(F9&lt;=EasyPace,"Easy","Recovery"))))</f>
        <v/>
      </c>
      <c r="I9">
        <f>IF(G9="","",IF(G9&lt;=-0.5,10,IF(G9&lt;=0,8,IF(G9&lt;=0.5,6,IF(G9&lt;=1,4,2)))))</f>
        <v/>
      </c>
      <c r="J9">
        <f>'Workout Log'!G9</f>
        <v/>
      </c>
      <c r="K9">
        <f>IF(J9="","",IF(J9&lt;=MaxHR*0.6,"Z1",IF(J9&lt;=MaxHR*0.7,"Z2",IF(J9&lt;=MaxHR*0.8,"Z3",IF(J9&lt;=MaxHR*0.9,"Z4","Z5")))))</f>
        <v/>
      </c>
      <c r="L9" s="5">
        <f>IF(AND(F9&lt;&gt;"",J9&lt;&gt;""),ROUND(F9/(J9/100),2),"")</f>
        <v/>
      </c>
      <c r="M9">
        <f>IF(AND('Workout Log'!G9&lt;&gt;"",'Workout Log'!H9&lt;&gt;""),'Workout Log'!H9-'Workout Log'!G9,"")</f>
        <v/>
      </c>
      <c r="N9">
        <f>IF(AND(E9&lt;&gt;"",J9&lt;&gt;""),ROUND((E9*(J9-RestingHR)/(MaxHR-RestingHR))*10,1),"")</f>
        <v/>
      </c>
      <c r="O9">
        <f>IF(AND('Workout Log'!I9&lt;&gt;"",E9&lt;&gt;""),ROUND('Workout Log'!I9*(E9/30),1),"")</f>
        <v/>
      </c>
      <c r="P9">
        <f>IF(O9="","",IF(O9&gt;=8,"High",IF(O9&gt;=5,"Medium","Low")))</f>
        <v/>
      </c>
      <c r="Q9" s="9">
        <f>SUMIFS(D:D,B:B,B9)</f>
        <v/>
      </c>
      <c r="R9" s="9">
        <f>SUM(D$4:D9)</f>
        <v/>
      </c>
    </row>
    <row r="10">
      <c r="A10">
        <f>'Workout Log'!A10</f>
        <v/>
      </c>
      <c r="B10">
        <f>'Workout Log'!B10</f>
        <v/>
      </c>
      <c r="C10">
        <f>'Workout Log'!D10</f>
        <v/>
      </c>
      <c r="D10">
        <f>'Workout Log'!E10</f>
        <v/>
      </c>
      <c r="E10">
        <f>'Workout Log'!F10</f>
        <v/>
      </c>
      <c r="F10" s="5">
        <f>IF(AND(D10&lt;&gt;"",D10&gt;0,E10&lt;&gt;""),E10/D10,"")</f>
        <v/>
      </c>
      <c r="G10" s="8">
        <f>IF(F10&lt;&gt;"",F10-TargetPace,"")</f>
        <v/>
      </c>
      <c r="H10">
        <f>IF(F10="","",IF(F10&lt;=IntervalPace,"Sprint",IF(F10&lt;=TempoPace,"Tempo",IF(F10&lt;=EasyPace,"Easy","Recovery"))))</f>
        <v/>
      </c>
      <c r="I10">
        <f>IF(G10="","",IF(G10&lt;=-0.5,10,IF(G10&lt;=0,8,IF(G10&lt;=0.5,6,IF(G10&lt;=1,4,2)))))</f>
        <v/>
      </c>
      <c r="J10">
        <f>'Workout Log'!G10</f>
        <v/>
      </c>
      <c r="K10">
        <f>IF(J10="","",IF(J10&lt;=MaxHR*0.6,"Z1",IF(J10&lt;=MaxHR*0.7,"Z2",IF(J10&lt;=MaxHR*0.8,"Z3",IF(J10&lt;=MaxHR*0.9,"Z4","Z5")))))</f>
        <v/>
      </c>
      <c r="L10" s="5">
        <f>IF(AND(F10&lt;&gt;"",J10&lt;&gt;""),ROUND(F10/(J10/100),2),"")</f>
        <v/>
      </c>
      <c r="M10">
        <f>IF(AND('Workout Log'!G10&lt;&gt;"",'Workout Log'!H10&lt;&gt;""),'Workout Log'!H10-'Workout Log'!G10,"")</f>
        <v/>
      </c>
      <c r="N10">
        <f>IF(AND(E10&lt;&gt;"",J10&lt;&gt;""),ROUND((E10*(J10-RestingHR)/(MaxHR-RestingHR))*10,1),"")</f>
        <v/>
      </c>
      <c r="O10">
        <f>IF(AND('Workout Log'!I10&lt;&gt;"",E10&lt;&gt;""),ROUND('Workout Log'!I10*(E10/30),1),"")</f>
        <v/>
      </c>
      <c r="P10">
        <f>IF(O10="","",IF(O10&gt;=8,"High",IF(O10&gt;=5,"Medium","Low")))</f>
        <v/>
      </c>
      <c r="Q10" s="9">
        <f>SUMIFS(D:D,B:B,B10)</f>
        <v/>
      </c>
      <c r="R10" s="9">
        <f>SUM(D$4:D10)</f>
        <v/>
      </c>
    </row>
    <row r="11">
      <c r="A11">
        <f>'Workout Log'!A11</f>
        <v/>
      </c>
      <c r="B11">
        <f>'Workout Log'!B11</f>
        <v/>
      </c>
      <c r="C11">
        <f>'Workout Log'!D11</f>
        <v/>
      </c>
      <c r="D11">
        <f>'Workout Log'!E11</f>
        <v/>
      </c>
      <c r="E11">
        <f>'Workout Log'!F11</f>
        <v/>
      </c>
      <c r="F11" s="5">
        <f>IF(AND(D11&lt;&gt;"",D11&gt;0,E11&lt;&gt;""),E11/D11,"")</f>
        <v/>
      </c>
      <c r="G11" s="8">
        <f>IF(F11&lt;&gt;"",F11-TargetPace,"")</f>
        <v/>
      </c>
      <c r="H11">
        <f>IF(F11="","",IF(F11&lt;=IntervalPace,"Sprint",IF(F11&lt;=TempoPace,"Tempo",IF(F11&lt;=EasyPace,"Easy","Recovery"))))</f>
        <v/>
      </c>
      <c r="I11">
        <f>IF(G11="","",IF(G11&lt;=-0.5,10,IF(G11&lt;=0,8,IF(G11&lt;=0.5,6,IF(G11&lt;=1,4,2)))))</f>
        <v/>
      </c>
      <c r="J11">
        <f>'Workout Log'!G11</f>
        <v/>
      </c>
      <c r="K11">
        <f>IF(J11="","",IF(J11&lt;=MaxHR*0.6,"Z1",IF(J11&lt;=MaxHR*0.7,"Z2",IF(J11&lt;=MaxHR*0.8,"Z3",IF(J11&lt;=MaxHR*0.9,"Z4","Z5")))))</f>
        <v/>
      </c>
      <c r="L11" s="5">
        <f>IF(AND(F11&lt;&gt;"",J11&lt;&gt;""),ROUND(F11/(J11/100),2),"")</f>
        <v/>
      </c>
      <c r="M11">
        <f>IF(AND('Workout Log'!G11&lt;&gt;"",'Workout Log'!H11&lt;&gt;""),'Workout Log'!H11-'Workout Log'!G11,"")</f>
        <v/>
      </c>
      <c r="N11">
        <f>IF(AND(E11&lt;&gt;"",J11&lt;&gt;""),ROUND((E11*(J11-RestingHR)/(MaxHR-RestingHR))*10,1),"")</f>
        <v/>
      </c>
      <c r="O11">
        <f>IF(AND('Workout Log'!I11&lt;&gt;"",E11&lt;&gt;""),ROUND('Workout Log'!I11*(E11/30),1),"")</f>
        <v/>
      </c>
      <c r="P11">
        <f>IF(O11="","",IF(O11&gt;=8,"High",IF(O11&gt;=5,"Medium","Low")))</f>
        <v/>
      </c>
      <c r="Q11" s="9">
        <f>SUMIFS(D:D,B:B,B11)</f>
        <v/>
      </c>
      <c r="R11" s="9">
        <f>SUM(D$4:D11)</f>
        <v/>
      </c>
    </row>
    <row r="12">
      <c r="A12">
        <f>'Workout Log'!A12</f>
        <v/>
      </c>
      <c r="B12">
        <f>'Workout Log'!B12</f>
        <v/>
      </c>
      <c r="C12">
        <f>'Workout Log'!D12</f>
        <v/>
      </c>
      <c r="D12">
        <f>'Workout Log'!E12</f>
        <v/>
      </c>
      <c r="E12">
        <f>'Workout Log'!F12</f>
        <v/>
      </c>
      <c r="F12" s="5">
        <f>IF(AND(D12&lt;&gt;"",D12&gt;0,E12&lt;&gt;""),E12/D12,"")</f>
        <v/>
      </c>
      <c r="G12" s="8">
        <f>IF(F12&lt;&gt;"",F12-TargetPace,"")</f>
        <v/>
      </c>
      <c r="H12">
        <f>IF(F12="","",IF(F12&lt;=IntervalPace,"Sprint",IF(F12&lt;=TempoPace,"Tempo",IF(F12&lt;=EasyPace,"Easy","Recovery"))))</f>
        <v/>
      </c>
      <c r="I12">
        <f>IF(G12="","",IF(G12&lt;=-0.5,10,IF(G12&lt;=0,8,IF(G12&lt;=0.5,6,IF(G12&lt;=1,4,2)))))</f>
        <v/>
      </c>
      <c r="J12">
        <f>'Workout Log'!G12</f>
        <v/>
      </c>
      <c r="K12">
        <f>IF(J12="","",IF(J12&lt;=MaxHR*0.6,"Z1",IF(J12&lt;=MaxHR*0.7,"Z2",IF(J12&lt;=MaxHR*0.8,"Z3",IF(J12&lt;=MaxHR*0.9,"Z4","Z5")))))</f>
        <v/>
      </c>
      <c r="L12" s="5">
        <f>IF(AND(F12&lt;&gt;"",J12&lt;&gt;""),ROUND(F12/(J12/100),2),"")</f>
        <v/>
      </c>
      <c r="M12">
        <f>IF(AND('Workout Log'!G12&lt;&gt;"",'Workout Log'!H12&lt;&gt;""),'Workout Log'!H12-'Workout Log'!G12,"")</f>
        <v/>
      </c>
      <c r="N12">
        <f>IF(AND(E12&lt;&gt;"",J12&lt;&gt;""),ROUND((E12*(J12-RestingHR)/(MaxHR-RestingHR))*10,1),"")</f>
        <v/>
      </c>
      <c r="O12">
        <f>IF(AND('Workout Log'!I12&lt;&gt;"",E12&lt;&gt;""),ROUND('Workout Log'!I12*(E12/30),1),"")</f>
        <v/>
      </c>
      <c r="P12">
        <f>IF(O12="","",IF(O12&gt;=8,"High",IF(O12&gt;=5,"Medium","Low")))</f>
        <v/>
      </c>
      <c r="Q12" s="9">
        <f>SUMIFS(D:D,B:B,B12)</f>
        <v/>
      </c>
      <c r="R12" s="9">
        <f>SUM(D$4:D12)</f>
        <v/>
      </c>
    </row>
    <row r="13">
      <c r="A13">
        <f>'Workout Log'!A13</f>
        <v/>
      </c>
      <c r="B13">
        <f>'Workout Log'!B13</f>
        <v/>
      </c>
      <c r="C13">
        <f>'Workout Log'!D13</f>
        <v/>
      </c>
      <c r="D13">
        <f>'Workout Log'!E13</f>
        <v/>
      </c>
      <c r="E13">
        <f>'Workout Log'!F13</f>
        <v/>
      </c>
      <c r="F13" s="5">
        <f>IF(AND(D13&lt;&gt;"",D13&gt;0,E13&lt;&gt;""),E13/D13,"")</f>
        <v/>
      </c>
      <c r="G13" s="8">
        <f>IF(F13&lt;&gt;"",F13-TargetPace,"")</f>
        <v/>
      </c>
      <c r="H13">
        <f>IF(F13="","",IF(F13&lt;=IntervalPace,"Sprint",IF(F13&lt;=TempoPace,"Tempo",IF(F13&lt;=EasyPace,"Easy","Recovery"))))</f>
        <v/>
      </c>
      <c r="I13">
        <f>IF(G13="","",IF(G13&lt;=-0.5,10,IF(G13&lt;=0,8,IF(G13&lt;=0.5,6,IF(G13&lt;=1,4,2)))))</f>
        <v/>
      </c>
      <c r="J13">
        <f>'Workout Log'!G13</f>
        <v/>
      </c>
      <c r="K13">
        <f>IF(J13="","",IF(J13&lt;=MaxHR*0.6,"Z1",IF(J13&lt;=MaxHR*0.7,"Z2",IF(J13&lt;=MaxHR*0.8,"Z3",IF(J13&lt;=MaxHR*0.9,"Z4","Z5")))))</f>
        <v/>
      </c>
      <c r="L13" s="5">
        <f>IF(AND(F13&lt;&gt;"",J13&lt;&gt;""),ROUND(F13/(J13/100),2),"")</f>
        <v/>
      </c>
      <c r="M13">
        <f>IF(AND('Workout Log'!G13&lt;&gt;"",'Workout Log'!H13&lt;&gt;""),'Workout Log'!H13-'Workout Log'!G13,"")</f>
        <v/>
      </c>
      <c r="N13">
        <f>IF(AND(E13&lt;&gt;"",J13&lt;&gt;""),ROUND((E13*(J13-RestingHR)/(MaxHR-RestingHR))*10,1),"")</f>
        <v/>
      </c>
      <c r="O13">
        <f>IF(AND('Workout Log'!I13&lt;&gt;"",E13&lt;&gt;""),ROUND('Workout Log'!I13*(E13/30),1),"")</f>
        <v/>
      </c>
      <c r="P13">
        <f>IF(O13="","",IF(O13&gt;=8,"High",IF(O13&gt;=5,"Medium","Low")))</f>
        <v/>
      </c>
      <c r="Q13" s="9">
        <f>SUMIFS(D:D,B:B,B13)</f>
        <v/>
      </c>
      <c r="R13" s="9">
        <f>SUM(D$4:D13)</f>
        <v/>
      </c>
    </row>
    <row r="14">
      <c r="A14">
        <f>'Workout Log'!A14</f>
        <v/>
      </c>
      <c r="B14">
        <f>'Workout Log'!B14</f>
        <v/>
      </c>
      <c r="C14">
        <f>'Workout Log'!D14</f>
        <v/>
      </c>
      <c r="D14">
        <f>'Workout Log'!E14</f>
        <v/>
      </c>
      <c r="E14">
        <f>'Workout Log'!F14</f>
        <v/>
      </c>
      <c r="F14" s="5">
        <f>IF(AND(D14&lt;&gt;"",D14&gt;0,E14&lt;&gt;""),E14/D14,"")</f>
        <v/>
      </c>
      <c r="G14" s="8">
        <f>IF(F14&lt;&gt;"",F14-TargetPace,"")</f>
        <v/>
      </c>
      <c r="H14">
        <f>IF(F14="","",IF(F14&lt;=IntervalPace,"Sprint",IF(F14&lt;=TempoPace,"Tempo",IF(F14&lt;=EasyPace,"Easy","Recovery"))))</f>
        <v/>
      </c>
      <c r="I14">
        <f>IF(G14="","",IF(G14&lt;=-0.5,10,IF(G14&lt;=0,8,IF(G14&lt;=0.5,6,IF(G14&lt;=1,4,2)))))</f>
        <v/>
      </c>
      <c r="J14">
        <f>'Workout Log'!G14</f>
        <v/>
      </c>
      <c r="K14">
        <f>IF(J14="","",IF(J14&lt;=MaxHR*0.6,"Z1",IF(J14&lt;=MaxHR*0.7,"Z2",IF(J14&lt;=MaxHR*0.8,"Z3",IF(J14&lt;=MaxHR*0.9,"Z4","Z5")))))</f>
        <v/>
      </c>
      <c r="L14" s="5">
        <f>IF(AND(F14&lt;&gt;"",J14&lt;&gt;""),ROUND(F14/(J14/100),2),"")</f>
        <v/>
      </c>
      <c r="M14">
        <f>IF(AND('Workout Log'!G14&lt;&gt;"",'Workout Log'!H14&lt;&gt;""),'Workout Log'!H14-'Workout Log'!G14,"")</f>
        <v/>
      </c>
      <c r="N14">
        <f>IF(AND(E14&lt;&gt;"",J14&lt;&gt;""),ROUND((E14*(J14-RestingHR)/(MaxHR-RestingHR))*10,1),"")</f>
        <v/>
      </c>
      <c r="O14">
        <f>IF(AND('Workout Log'!I14&lt;&gt;"",E14&lt;&gt;""),ROUND('Workout Log'!I14*(E14/30),1),"")</f>
        <v/>
      </c>
      <c r="P14">
        <f>IF(O14="","",IF(O14&gt;=8,"High",IF(O14&gt;=5,"Medium","Low")))</f>
        <v/>
      </c>
      <c r="Q14" s="9">
        <f>SUMIFS(D:D,B:B,B14)</f>
        <v/>
      </c>
      <c r="R14" s="9">
        <f>SUM(D$4:D14)</f>
        <v/>
      </c>
    </row>
    <row r="15">
      <c r="A15">
        <f>'Workout Log'!A15</f>
        <v/>
      </c>
      <c r="B15">
        <f>'Workout Log'!B15</f>
        <v/>
      </c>
      <c r="C15">
        <f>'Workout Log'!D15</f>
        <v/>
      </c>
      <c r="D15">
        <f>'Workout Log'!E15</f>
        <v/>
      </c>
      <c r="E15">
        <f>'Workout Log'!F15</f>
        <v/>
      </c>
      <c r="F15" s="5">
        <f>IF(AND(D15&lt;&gt;"",D15&gt;0,E15&lt;&gt;""),E15/D15,"")</f>
        <v/>
      </c>
      <c r="G15" s="8">
        <f>IF(F15&lt;&gt;"",F15-TargetPace,"")</f>
        <v/>
      </c>
      <c r="H15">
        <f>IF(F15="","",IF(F15&lt;=IntervalPace,"Sprint",IF(F15&lt;=TempoPace,"Tempo",IF(F15&lt;=EasyPace,"Easy","Recovery"))))</f>
        <v/>
      </c>
      <c r="I15">
        <f>IF(G15="","",IF(G15&lt;=-0.5,10,IF(G15&lt;=0,8,IF(G15&lt;=0.5,6,IF(G15&lt;=1,4,2)))))</f>
        <v/>
      </c>
      <c r="J15">
        <f>'Workout Log'!G15</f>
        <v/>
      </c>
      <c r="K15">
        <f>IF(J15="","",IF(J15&lt;=MaxHR*0.6,"Z1",IF(J15&lt;=MaxHR*0.7,"Z2",IF(J15&lt;=MaxHR*0.8,"Z3",IF(J15&lt;=MaxHR*0.9,"Z4","Z5")))))</f>
        <v/>
      </c>
      <c r="L15" s="5">
        <f>IF(AND(F15&lt;&gt;"",J15&lt;&gt;""),ROUND(F15/(J15/100),2),"")</f>
        <v/>
      </c>
      <c r="M15">
        <f>IF(AND('Workout Log'!G15&lt;&gt;"",'Workout Log'!H15&lt;&gt;""),'Workout Log'!H15-'Workout Log'!G15,"")</f>
        <v/>
      </c>
      <c r="N15">
        <f>IF(AND(E15&lt;&gt;"",J15&lt;&gt;""),ROUND((E15*(J15-RestingHR)/(MaxHR-RestingHR))*10,1),"")</f>
        <v/>
      </c>
      <c r="O15">
        <f>IF(AND('Workout Log'!I15&lt;&gt;"",E15&lt;&gt;""),ROUND('Workout Log'!I15*(E15/30),1),"")</f>
        <v/>
      </c>
      <c r="P15">
        <f>IF(O15="","",IF(O15&gt;=8,"High",IF(O15&gt;=5,"Medium","Low")))</f>
        <v/>
      </c>
      <c r="Q15" s="9">
        <f>SUMIFS(D:D,B:B,B15)</f>
        <v/>
      </c>
      <c r="R15" s="9">
        <f>SUM(D$4:D15)</f>
        <v/>
      </c>
    </row>
    <row r="16">
      <c r="A16">
        <f>'Workout Log'!A16</f>
        <v/>
      </c>
      <c r="B16">
        <f>'Workout Log'!B16</f>
        <v/>
      </c>
      <c r="C16">
        <f>'Workout Log'!D16</f>
        <v/>
      </c>
      <c r="D16">
        <f>'Workout Log'!E16</f>
        <v/>
      </c>
      <c r="E16">
        <f>'Workout Log'!F16</f>
        <v/>
      </c>
      <c r="F16" s="5">
        <f>IF(AND(D16&lt;&gt;"",D16&gt;0,E16&lt;&gt;""),E16/D16,"")</f>
        <v/>
      </c>
      <c r="G16" s="8">
        <f>IF(F16&lt;&gt;"",F16-TargetPace,"")</f>
        <v/>
      </c>
      <c r="H16">
        <f>IF(F16="","",IF(F16&lt;=IntervalPace,"Sprint",IF(F16&lt;=TempoPace,"Tempo",IF(F16&lt;=EasyPace,"Easy","Recovery"))))</f>
        <v/>
      </c>
      <c r="I16">
        <f>IF(G16="","",IF(G16&lt;=-0.5,10,IF(G16&lt;=0,8,IF(G16&lt;=0.5,6,IF(G16&lt;=1,4,2)))))</f>
        <v/>
      </c>
      <c r="J16">
        <f>'Workout Log'!G16</f>
        <v/>
      </c>
      <c r="K16">
        <f>IF(J16="","",IF(J16&lt;=MaxHR*0.6,"Z1",IF(J16&lt;=MaxHR*0.7,"Z2",IF(J16&lt;=MaxHR*0.8,"Z3",IF(J16&lt;=MaxHR*0.9,"Z4","Z5")))))</f>
        <v/>
      </c>
      <c r="L16" s="5">
        <f>IF(AND(F16&lt;&gt;"",J16&lt;&gt;""),ROUND(F16/(J16/100),2),"")</f>
        <v/>
      </c>
      <c r="M16">
        <f>IF(AND('Workout Log'!G16&lt;&gt;"",'Workout Log'!H16&lt;&gt;""),'Workout Log'!H16-'Workout Log'!G16,"")</f>
        <v/>
      </c>
      <c r="N16">
        <f>IF(AND(E16&lt;&gt;"",J16&lt;&gt;""),ROUND((E16*(J16-RestingHR)/(MaxHR-RestingHR))*10,1),"")</f>
        <v/>
      </c>
      <c r="O16">
        <f>IF(AND('Workout Log'!I16&lt;&gt;"",E16&lt;&gt;""),ROUND('Workout Log'!I16*(E16/30),1),"")</f>
        <v/>
      </c>
      <c r="P16">
        <f>IF(O16="","",IF(O16&gt;=8,"High",IF(O16&gt;=5,"Medium","Low")))</f>
        <v/>
      </c>
      <c r="Q16" s="9">
        <f>SUMIFS(D:D,B:B,B16)</f>
        <v/>
      </c>
      <c r="R16" s="9">
        <f>SUM(D$4:D16)</f>
        <v/>
      </c>
    </row>
    <row r="17">
      <c r="A17">
        <f>'Workout Log'!A17</f>
        <v/>
      </c>
      <c r="B17">
        <f>'Workout Log'!B17</f>
        <v/>
      </c>
      <c r="C17">
        <f>'Workout Log'!D17</f>
        <v/>
      </c>
      <c r="D17">
        <f>'Workout Log'!E17</f>
        <v/>
      </c>
      <c r="E17">
        <f>'Workout Log'!F17</f>
        <v/>
      </c>
      <c r="F17" s="5">
        <f>IF(AND(D17&lt;&gt;"",D17&gt;0,E17&lt;&gt;""),E17/D17,"")</f>
        <v/>
      </c>
      <c r="G17" s="8">
        <f>IF(F17&lt;&gt;"",F17-TargetPace,"")</f>
        <v/>
      </c>
      <c r="H17">
        <f>IF(F17="","",IF(F17&lt;=IntervalPace,"Sprint",IF(F17&lt;=TempoPace,"Tempo",IF(F17&lt;=EasyPace,"Easy","Recovery"))))</f>
        <v/>
      </c>
      <c r="I17">
        <f>IF(G17="","",IF(G17&lt;=-0.5,10,IF(G17&lt;=0,8,IF(G17&lt;=0.5,6,IF(G17&lt;=1,4,2)))))</f>
        <v/>
      </c>
      <c r="J17">
        <f>'Workout Log'!G17</f>
        <v/>
      </c>
      <c r="K17">
        <f>IF(J17="","",IF(J17&lt;=MaxHR*0.6,"Z1",IF(J17&lt;=MaxHR*0.7,"Z2",IF(J17&lt;=MaxHR*0.8,"Z3",IF(J17&lt;=MaxHR*0.9,"Z4","Z5")))))</f>
        <v/>
      </c>
      <c r="L17" s="5">
        <f>IF(AND(F17&lt;&gt;"",J17&lt;&gt;""),ROUND(F17/(J17/100),2),"")</f>
        <v/>
      </c>
      <c r="M17">
        <f>IF(AND('Workout Log'!G17&lt;&gt;"",'Workout Log'!H17&lt;&gt;""),'Workout Log'!H17-'Workout Log'!G17,"")</f>
        <v/>
      </c>
      <c r="N17">
        <f>IF(AND(E17&lt;&gt;"",J17&lt;&gt;""),ROUND((E17*(J17-RestingHR)/(MaxHR-RestingHR))*10,1),"")</f>
        <v/>
      </c>
      <c r="O17">
        <f>IF(AND('Workout Log'!I17&lt;&gt;"",E17&lt;&gt;""),ROUND('Workout Log'!I17*(E17/30),1),"")</f>
        <v/>
      </c>
      <c r="P17">
        <f>IF(O17="","",IF(O17&gt;=8,"High",IF(O17&gt;=5,"Medium","Low")))</f>
        <v/>
      </c>
      <c r="Q17" s="9">
        <f>SUMIFS(D:D,B:B,B17)</f>
        <v/>
      </c>
      <c r="R17" s="9">
        <f>SUM(D$4:D17)</f>
        <v/>
      </c>
    </row>
    <row r="18">
      <c r="A18">
        <f>'Workout Log'!A18</f>
        <v/>
      </c>
      <c r="B18">
        <f>'Workout Log'!B18</f>
        <v/>
      </c>
      <c r="C18">
        <f>'Workout Log'!D18</f>
        <v/>
      </c>
      <c r="D18">
        <f>'Workout Log'!E18</f>
        <v/>
      </c>
      <c r="E18">
        <f>'Workout Log'!F18</f>
        <v/>
      </c>
      <c r="F18" s="5">
        <f>IF(AND(D18&lt;&gt;"",D18&gt;0,E18&lt;&gt;""),E18/D18,"")</f>
        <v/>
      </c>
      <c r="G18" s="8">
        <f>IF(F18&lt;&gt;"",F18-TargetPace,"")</f>
        <v/>
      </c>
      <c r="H18">
        <f>IF(F18="","",IF(F18&lt;=IntervalPace,"Sprint",IF(F18&lt;=TempoPace,"Tempo",IF(F18&lt;=EasyPace,"Easy","Recovery"))))</f>
        <v/>
      </c>
      <c r="I18">
        <f>IF(G18="","",IF(G18&lt;=-0.5,10,IF(G18&lt;=0,8,IF(G18&lt;=0.5,6,IF(G18&lt;=1,4,2)))))</f>
        <v/>
      </c>
      <c r="J18">
        <f>'Workout Log'!G18</f>
        <v/>
      </c>
      <c r="K18">
        <f>IF(J18="","",IF(J18&lt;=MaxHR*0.6,"Z1",IF(J18&lt;=MaxHR*0.7,"Z2",IF(J18&lt;=MaxHR*0.8,"Z3",IF(J18&lt;=MaxHR*0.9,"Z4","Z5")))))</f>
        <v/>
      </c>
      <c r="L18" s="5">
        <f>IF(AND(F18&lt;&gt;"",J18&lt;&gt;""),ROUND(F18/(J18/100),2),"")</f>
        <v/>
      </c>
      <c r="M18">
        <f>IF(AND('Workout Log'!G18&lt;&gt;"",'Workout Log'!H18&lt;&gt;""),'Workout Log'!H18-'Workout Log'!G18,"")</f>
        <v/>
      </c>
      <c r="N18">
        <f>IF(AND(E18&lt;&gt;"",J18&lt;&gt;""),ROUND((E18*(J18-RestingHR)/(MaxHR-RestingHR))*10,1),"")</f>
        <v/>
      </c>
      <c r="O18">
        <f>IF(AND('Workout Log'!I18&lt;&gt;"",E18&lt;&gt;""),ROUND('Workout Log'!I18*(E18/30),1),"")</f>
        <v/>
      </c>
      <c r="P18">
        <f>IF(O18="","",IF(O18&gt;=8,"High",IF(O18&gt;=5,"Medium","Low")))</f>
        <v/>
      </c>
      <c r="Q18" s="9">
        <f>SUMIFS(D:D,B:B,B18)</f>
        <v/>
      </c>
      <c r="R18" s="9">
        <f>SUM(D$4:D18)</f>
        <v/>
      </c>
    </row>
    <row r="19">
      <c r="A19">
        <f>'Workout Log'!A19</f>
        <v/>
      </c>
      <c r="B19">
        <f>'Workout Log'!B19</f>
        <v/>
      </c>
      <c r="C19">
        <f>'Workout Log'!D19</f>
        <v/>
      </c>
      <c r="D19">
        <f>'Workout Log'!E19</f>
        <v/>
      </c>
      <c r="E19">
        <f>'Workout Log'!F19</f>
        <v/>
      </c>
      <c r="F19" s="5">
        <f>IF(AND(D19&lt;&gt;"",D19&gt;0,E19&lt;&gt;""),E19/D19,"")</f>
        <v/>
      </c>
      <c r="G19" s="8">
        <f>IF(F19&lt;&gt;"",F19-TargetPace,"")</f>
        <v/>
      </c>
      <c r="H19">
        <f>IF(F19="","",IF(F19&lt;=IntervalPace,"Sprint",IF(F19&lt;=TempoPace,"Tempo",IF(F19&lt;=EasyPace,"Easy","Recovery"))))</f>
        <v/>
      </c>
      <c r="I19">
        <f>IF(G19="","",IF(G19&lt;=-0.5,10,IF(G19&lt;=0,8,IF(G19&lt;=0.5,6,IF(G19&lt;=1,4,2)))))</f>
        <v/>
      </c>
      <c r="J19">
        <f>'Workout Log'!G19</f>
        <v/>
      </c>
      <c r="K19">
        <f>IF(J19="","",IF(J19&lt;=MaxHR*0.6,"Z1",IF(J19&lt;=MaxHR*0.7,"Z2",IF(J19&lt;=MaxHR*0.8,"Z3",IF(J19&lt;=MaxHR*0.9,"Z4","Z5")))))</f>
        <v/>
      </c>
      <c r="L19" s="5">
        <f>IF(AND(F19&lt;&gt;"",J19&lt;&gt;""),ROUND(F19/(J19/100),2),"")</f>
        <v/>
      </c>
      <c r="M19">
        <f>IF(AND('Workout Log'!G19&lt;&gt;"",'Workout Log'!H19&lt;&gt;""),'Workout Log'!H19-'Workout Log'!G19,"")</f>
        <v/>
      </c>
      <c r="N19">
        <f>IF(AND(E19&lt;&gt;"",J19&lt;&gt;""),ROUND((E19*(J19-RestingHR)/(MaxHR-RestingHR))*10,1),"")</f>
        <v/>
      </c>
      <c r="O19">
        <f>IF(AND('Workout Log'!I19&lt;&gt;"",E19&lt;&gt;""),ROUND('Workout Log'!I19*(E19/30),1),"")</f>
        <v/>
      </c>
      <c r="P19">
        <f>IF(O19="","",IF(O19&gt;=8,"High",IF(O19&gt;=5,"Medium","Low")))</f>
        <v/>
      </c>
      <c r="Q19" s="9">
        <f>SUMIFS(D:D,B:B,B19)</f>
        <v/>
      </c>
      <c r="R19" s="9">
        <f>SUM(D$4:D19)</f>
        <v/>
      </c>
    </row>
    <row r="20">
      <c r="A20">
        <f>'Workout Log'!A20</f>
        <v/>
      </c>
      <c r="B20">
        <f>'Workout Log'!B20</f>
        <v/>
      </c>
      <c r="C20">
        <f>'Workout Log'!D20</f>
        <v/>
      </c>
      <c r="D20">
        <f>'Workout Log'!E20</f>
        <v/>
      </c>
      <c r="E20">
        <f>'Workout Log'!F20</f>
        <v/>
      </c>
      <c r="F20" s="5">
        <f>IF(AND(D20&lt;&gt;"",D20&gt;0,E20&lt;&gt;""),E20/D20,"")</f>
        <v/>
      </c>
      <c r="G20" s="8">
        <f>IF(F20&lt;&gt;"",F20-TargetPace,"")</f>
        <v/>
      </c>
      <c r="H20">
        <f>IF(F20="","",IF(F20&lt;=IntervalPace,"Sprint",IF(F20&lt;=TempoPace,"Tempo",IF(F20&lt;=EasyPace,"Easy","Recovery"))))</f>
        <v/>
      </c>
      <c r="I20">
        <f>IF(G20="","",IF(G20&lt;=-0.5,10,IF(G20&lt;=0,8,IF(G20&lt;=0.5,6,IF(G20&lt;=1,4,2)))))</f>
        <v/>
      </c>
      <c r="J20">
        <f>'Workout Log'!G20</f>
        <v/>
      </c>
      <c r="K20">
        <f>IF(J20="","",IF(J20&lt;=MaxHR*0.6,"Z1",IF(J20&lt;=MaxHR*0.7,"Z2",IF(J20&lt;=MaxHR*0.8,"Z3",IF(J20&lt;=MaxHR*0.9,"Z4","Z5")))))</f>
        <v/>
      </c>
      <c r="L20" s="5">
        <f>IF(AND(F20&lt;&gt;"",J20&lt;&gt;""),ROUND(F20/(J20/100),2),"")</f>
        <v/>
      </c>
      <c r="M20">
        <f>IF(AND('Workout Log'!G20&lt;&gt;"",'Workout Log'!H20&lt;&gt;""),'Workout Log'!H20-'Workout Log'!G20,"")</f>
        <v/>
      </c>
      <c r="N20">
        <f>IF(AND(E20&lt;&gt;"",J20&lt;&gt;""),ROUND((E20*(J20-RestingHR)/(MaxHR-RestingHR))*10,1),"")</f>
        <v/>
      </c>
      <c r="O20">
        <f>IF(AND('Workout Log'!I20&lt;&gt;"",E20&lt;&gt;""),ROUND('Workout Log'!I20*(E20/30),1),"")</f>
        <v/>
      </c>
      <c r="P20">
        <f>IF(O20="","",IF(O20&gt;=8,"High",IF(O20&gt;=5,"Medium","Low")))</f>
        <v/>
      </c>
      <c r="Q20" s="9">
        <f>SUMIFS(D:D,B:B,B20)</f>
        <v/>
      </c>
      <c r="R20" s="9">
        <f>SUM(D$4:D20)</f>
        <v/>
      </c>
    </row>
    <row r="21">
      <c r="A21">
        <f>'Workout Log'!A21</f>
        <v/>
      </c>
      <c r="B21">
        <f>'Workout Log'!B21</f>
        <v/>
      </c>
      <c r="C21">
        <f>'Workout Log'!D21</f>
        <v/>
      </c>
      <c r="D21">
        <f>'Workout Log'!E21</f>
        <v/>
      </c>
      <c r="E21">
        <f>'Workout Log'!F21</f>
        <v/>
      </c>
      <c r="F21" s="5">
        <f>IF(AND(D21&lt;&gt;"",D21&gt;0,E21&lt;&gt;""),E21/D21,"")</f>
        <v/>
      </c>
      <c r="G21" s="8">
        <f>IF(F21&lt;&gt;"",F21-TargetPace,"")</f>
        <v/>
      </c>
      <c r="H21">
        <f>IF(F21="","",IF(F21&lt;=IntervalPace,"Sprint",IF(F21&lt;=TempoPace,"Tempo",IF(F21&lt;=EasyPace,"Easy","Recovery"))))</f>
        <v/>
      </c>
      <c r="I21">
        <f>IF(G21="","",IF(G21&lt;=-0.5,10,IF(G21&lt;=0,8,IF(G21&lt;=0.5,6,IF(G21&lt;=1,4,2)))))</f>
        <v/>
      </c>
      <c r="J21">
        <f>'Workout Log'!G21</f>
        <v/>
      </c>
      <c r="K21">
        <f>IF(J21="","",IF(J21&lt;=MaxHR*0.6,"Z1",IF(J21&lt;=MaxHR*0.7,"Z2",IF(J21&lt;=MaxHR*0.8,"Z3",IF(J21&lt;=MaxHR*0.9,"Z4","Z5")))))</f>
        <v/>
      </c>
      <c r="L21" s="5">
        <f>IF(AND(F21&lt;&gt;"",J21&lt;&gt;""),ROUND(F21/(J21/100),2),"")</f>
        <v/>
      </c>
      <c r="M21">
        <f>IF(AND('Workout Log'!G21&lt;&gt;"",'Workout Log'!H21&lt;&gt;""),'Workout Log'!H21-'Workout Log'!G21,"")</f>
        <v/>
      </c>
      <c r="N21">
        <f>IF(AND(E21&lt;&gt;"",J21&lt;&gt;""),ROUND((E21*(J21-RestingHR)/(MaxHR-RestingHR))*10,1),"")</f>
        <v/>
      </c>
      <c r="O21">
        <f>IF(AND('Workout Log'!I21&lt;&gt;"",E21&lt;&gt;""),ROUND('Workout Log'!I21*(E21/30),1),"")</f>
        <v/>
      </c>
      <c r="P21">
        <f>IF(O21="","",IF(O21&gt;=8,"High",IF(O21&gt;=5,"Medium","Low")))</f>
        <v/>
      </c>
      <c r="Q21" s="9">
        <f>SUMIFS(D:D,B:B,B21)</f>
        <v/>
      </c>
      <c r="R21" s="9">
        <f>SUM(D$4:D21)</f>
        <v/>
      </c>
    </row>
    <row r="22">
      <c r="A22">
        <f>'Workout Log'!A22</f>
        <v/>
      </c>
      <c r="B22">
        <f>'Workout Log'!B22</f>
        <v/>
      </c>
      <c r="C22">
        <f>'Workout Log'!D22</f>
        <v/>
      </c>
      <c r="D22">
        <f>'Workout Log'!E22</f>
        <v/>
      </c>
      <c r="E22">
        <f>'Workout Log'!F22</f>
        <v/>
      </c>
      <c r="F22" s="5">
        <f>IF(AND(D22&lt;&gt;"",D22&gt;0,E22&lt;&gt;""),E22/D22,"")</f>
        <v/>
      </c>
      <c r="G22" s="8">
        <f>IF(F22&lt;&gt;"",F22-TargetPace,"")</f>
        <v/>
      </c>
      <c r="H22">
        <f>IF(F22="","",IF(F22&lt;=IntervalPace,"Sprint",IF(F22&lt;=TempoPace,"Tempo",IF(F22&lt;=EasyPace,"Easy","Recovery"))))</f>
        <v/>
      </c>
      <c r="I22">
        <f>IF(G22="","",IF(G22&lt;=-0.5,10,IF(G22&lt;=0,8,IF(G22&lt;=0.5,6,IF(G22&lt;=1,4,2)))))</f>
        <v/>
      </c>
      <c r="J22">
        <f>'Workout Log'!G22</f>
        <v/>
      </c>
      <c r="K22">
        <f>IF(J22="","",IF(J22&lt;=MaxHR*0.6,"Z1",IF(J22&lt;=MaxHR*0.7,"Z2",IF(J22&lt;=MaxHR*0.8,"Z3",IF(J22&lt;=MaxHR*0.9,"Z4","Z5")))))</f>
        <v/>
      </c>
      <c r="L22" s="5">
        <f>IF(AND(F22&lt;&gt;"",J22&lt;&gt;""),ROUND(F22/(J22/100),2),"")</f>
        <v/>
      </c>
      <c r="M22">
        <f>IF(AND('Workout Log'!G22&lt;&gt;"",'Workout Log'!H22&lt;&gt;""),'Workout Log'!H22-'Workout Log'!G22,"")</f>
        <v/>
      </c>
      <c r="N22">
        <f>IF(AND(E22&lt;&gt;"",J22&lt;&gt;""),ROUND((E22*(J22-RestingHR)/(MaxHR-RestingHR))*10,1),"")</f>
        <v/>
      </c>
      <c r="O22">
        <f>IF(AND('Workout Log'!I22&lt;&gt;"",E22&lt;&gt;""),ROUND('Workout Log'!I22*(E22/30),1),"")</f>
        <v/>
      </c>
      <c r="P22">
        <f>IF(O22="","",IF(O22&gt;=8,"High",IF(O22&gt;=5,"Medium","Low")))</f>
        <v/>
      </c>
      <c r="Q22" s="9">
        <f>SUMIFS(D:D,B:B,B22)</f>
        <v/>
      </c>
      <c r="R22" s="9">
        <f>SUM(D$4:D22)</f>
        <v/>
      </c>
    </row>
    <row r="23">
      <c r="A23">
        <f>'Workout Log'!A23</f>
        <v/>
      </c>
      <c r="B23">
        <f>'Workout Log'!B23</f>
        <v/>
      </c>
      <c r="C23">
        <f>'Workout Log'!D23</f>
        <v/>
      </c>
      <c r="D23">
        <f>'Workout Log'!E23</f>
        <v/>
      </c>
      <c r="E23">
        <f>'Workout Log'!F23</f>
        <v/>
      </c>
      <c r="F23" s="5">
        <f>IF(AND(D23&lt;&gt;"",D23&gt;0,E23&lt;&gt;""),E23/D23,"")</f>
        <v/>
      </c>
      <c r="G23" s="8">
        <f>IF(F23&lt;&gt;"",F23-TargetPace,"")</f>
        <v/>
      </c>
      <c r="H23">
        <f>IF(F23="","",IF(F23&lt;=IntervalPace,"Sprint",IF(F23&lt;=TempoPace,"Tempo",IF(F23&lt;=EasyPace,"Easy","Recovery"))))</f>
        <v/>
      </c>
      <c r="I23">
        <f>IF(G23="","",IF(G23&lt;=-0.5,10,IF(G23&lt;=0,8,IF(G23&lt;=0.5,6,IF(G23&lt;=1,4,2)))))</f>
        <v/>
      </c>
      <c r="J23">
        <f>'Workout Log'!G23</f>
        <v/>
      </c>
      <c r="K23">
        <f>IF(J23="","",IF(J23&lt;=MaxHR*0.6,"Z1",IF(J23&lt;=MaxHR*0.7,"Z2",IF(J23&lt;=MaxHR*0.8,"Z3",IF(J23&lt;=MaxHR*0.9,"Z4","Z5")))))</f>
        <v/>
      </c>
      <c r="L23" s="5">
        <f>IF(AND(F23&lt;&gt;"",J23&lt;&gt;""),ROUND(F23/(J23/100),2),"")</f>
        <v/>
      </c>
      <c r="M23">
        <f>IF(AND('Workout Log'!G23&lt;&gt;"",'Workout Log'!H23&lt;&gt;""),'Workout Log'!H23-'Workout Log'!G23,"")</f>
        <v/>
      </c>
      <c r="N23">
        <f>IF(AND(E23&lt;&gt;"",J23&lt;&gt;""),ROUND((E23*(J23-RestingHR)/(MaxHR-RestingHR))*10,1),"")</f>
        <v/>
      </c>
      <c r="O23">
        <f>IF(AND('Workout Log'!I23&lt;&gt;"",E23&lt;&gt;""),ROUND('Workout Log'!I23*(E23/30),1),"")</f>
        <v/>
      </c>
      <c r="P23">
        <f>IF(O23="","",IF(O23&gt;=8,"High",IF(O23&gt;=5,"Medium","Low")))</f>
        <v/>
      </c>
      <c r="Q23" s="9">
        <f>SUMIFS(D:D,B:B,B23)</f>
        <v/>
      </c>
      <c r="R23" s="9">
        <f>SUM(D$4:D23)</f>
        <v/>
      </c>
    </row>
    <row r="24">
      <c r="A24">
        <f>'Workout Log'!A24</f>
        <v/>
      </c>
      <c r="B24">
        <f>'Workout Log'!B24</f>
        <v/>
      </c>
      <c r="C24">
        <f>'Workout Log'!D24</f>
        <v/>
      </c>
      <c r="D24">
        <f>'Workout Log'!E24</f>
        <v/>
      </c>
      <c r="E24">
        <f>'Workout Log'!F24</f>
        <v/>
      </c>
      <c r="F24" s="5">
        <f>IF(AND(D24&lt;&gt;"",D24&gt;0,E24&lt;&gt;""),E24/D24,"")</f>
        <v/>
      </c>
      <c r="G24" s="8">
        <f>IF(F24&lt;&gt;"",F24-TargetPace,"")</f>
        <v/>
      </c>
      <c r="H24">
        <f>IF(F24="","",IF(F24&lt;=IntervalPace,"Sprint",IF(F24&lt;=TempoPace,"Tempo",IF(F24&lt;=EasyPace,"Easy","Recovery"))))</f>
        <v/>
      </c>
      <c r="I24">
        <f>IF(G24="","",IF(G24&lt;=-0.5,10,IF(G24&lt;=0,8,IF(G24&lt;=0.5,6,IF(G24&lt;=1,4,2)))))</f>
        <v/>
      </c>
      <c r="J24">
        <f>'Workout Log'!G24</f>
        <v/>
      </c>
      <c r="K24">
        <f>IF(J24="","",IF(J24&lt;=MaxHR*0.6,"Z1",IF(J24&lt;=MaxHR*0.7,"Z2",IF(J24&lt;=MaxHR*0.8,"Z3",IF(J24&lt;=MaxHR*0.9,"Z4","Z5")))))</f>
        <v/>
      </c>
      <c r="L24" s="5">
        <f>IF(AND(F24&lt;&gt;"",J24&lt;&gt;""),ROUND(F24/(J24/100),2),"")</f>
        <v/>
      </c>
      <c r="M24">
        <f>IF(AND('Workout Log'!G24&lt;&gt;"",'Workout Log'!H24&lt;&gt;""),'Workout Log'!H24-'Workout Log'!G24,"")</f>
        <v/>
      </c>
      <c r="N24">
        <f>IF(AND(E24&lt;&gt;"",J24&lt;&gt;""),ROUND((E24*(J24-RestingHR)/(MaxHR-RestingHR))*10,1),"")</f>
        <v/>
      </c>
      <c r="O24">
        <f>IF(AND('Workout Log'!I24&lt;&gt;"",E24&lt;&gt;""),ROUND('Workout Log'!I24*(E24/30),1),"")</f>
        <v/>
      </c>
      <c r="P24">
        <f>IF(O24="","",IF(O24&gt;=8,"High",IF(O24&gt;=5,"Medium","Low")))</f>
        <v/>
      </c>
      <c r="Q24" s="9">
        <f>SUMIFS(D:D,B:B,B24)</f>
        <v/>
      </c>
      <c r="R24" s="9">
        <f>SUM(D$4:D24)</f>
        <v/>
      </c>
    </row>
    <row r="25">
      <c r="A25">
        <f>'Workout Log'!A25</f>
        <v/>
      </c>
      <c r="B25">
        <f>'Workout Log'!B25</f>
        <v/>
      </c>
      <c r="C25">
        <f>'Workout Log'!D25</f>
        <v/>
      </c>
      <c r="D25">
        <f>'Workout Log'!E25</f>
        <v/>
      </c>
      <c r="E25">
        <f>'Workout Log'!F25</f>
        <v/>
      </c>
      <c r="F25" s="5">
        <f>IF(AND(D25&lt;&gt;"",D25&gt;0,E25&lt;&gt;""),E25/D25,"")</f>
        <v/>
      </c>
      <c r="G25" s="8">
        <f>IF(F25&lt;&gt;"",F25-TargetPace,"")</f>
        <v/>
      </c>
      <c r="H25">
        <f>IF(F25="","",IF(F25&lt;=IntervalPace,"Sprint",IF(F25&lt;=TempoPace,"Tempo",IF(F25&lt;=EasyPace,"Easy","Recovery"))))</f>
        <v/>
      </c>
      <c r="I25">
        <f>IF(G25="","",IF(G25&lt;=-0.5,10,IF(G25&lt;=0,8,IF(G25&lt;=0.5,6,IF(G25&lt;=1,4,2)))))</f>
        <v/>
      </c>
      <c r="J25">
        <f>'Workout Log'!G25</f>
        <v/>
      </c>
      <c r="K25">
        <f>IF(J25="","",IF(J25&lt;=MaxHR*0.6,"Z1",IF(J25&lt;=MaxHR*0.7,"Z2",IF(J25&lt;=MaxHR*0.8,"Z3",IF(J25&lt;=MaxHR*0.9,"Z4","Z5")))))</f>
        <v/>
      </c>
      <c r="L25" s="5">
        <f>IF(AND(F25&lt;&gt;"",J25&lt;&gt;""),ROUND(F25/(J25/100),2),"")</f>
        <v/>
      </c>
      <c r="M25">
        <f>IF(AND('Workout Log'!G25&lt;&gt;"",'Workout Log'!H25&lt;&gt;""),'Workout Log'!H25-'Workout Log'!G25,"")</f>
        <v/>
      </c>
      <c r="N25">
        <f>IF(AND(E25&lt;&gt;"",J25&lt;&gt;""),ROUND((E25*(J25-RestingHR)/(MaxHR-RestingHR))*10,1),"")</f>
        <v/>
      </c>
      <c r="O25">
        <f>IF(AND('Workout Log'!I25&lt;&gt;"",E25&lt;&gt;""),ROUND('Workout Log'!I25*(E25/30),1),"")</f>
        <v/>
      </c>
      <c r="P25">
        <f>IF(O25="","",IF(O25&gt;=8,"High",IF(O25&gt;=5,"Medium","Low")))</f>
        <v/>
      </c>
      <c r="Q25" s="9">
        <f>SUMIFS(D:D,B:B,B25)</f>
        <v/>
      </c>
      <c r="R25" s="9">
        <f>SUM(D$4:D25)</f>
        <v/>
      </c>
    </row>
    <row r="26">
      <c r="A26">
        <f>'Workout Log'!A26</f>
        <v/>
      </c>
      <c r="B26">
        <f>'Workout Log'!B26</f>
        <v/>
      </c>
      <c r="C26">
        <f>'Workout Log'!D26</f>
        <v/>
      </c>
      <c r="D26">
        <f>'Workout Log'!E26</f>
        <v/>
      </c>
      <c r="E26">
        <f>'Workout Log'!F26</f>
        <v/>
      </c>
      <c r="F26" s="5">
        <f>IF(AND(D26&lt;&gt;"",D26&gt;0,E26&lt;&gt;""),E26/D26,"")</f>
        <v/>
      </c>
      <c r="G26" s="8">
        <f>IF(F26&lt;&gt;"",F26-TargetPace,"")</f>
        <v/>
      </c>
      <c r="H26">
        <f>IF(F26="","",IF(F26&lt;=IntervalPace,"Sprint",IF(F26&lt;=TempoPace,"Tempo",IF(F26&lt;=EasyPace,"Easy","Recovery"))))</f>
        <v/>
      </c>
      <c r="I26">
        <f>IF(G26="","",IF(G26&lt;=-0.5,10,IF(G26&lt;=0,8,IF(G26&lt;=0.5,6,IF(G26&lt;=1,4,2)))))</f>
        <v/>
      </c>
      <c r="J26">
        <f>'Workout Log'!G26</f>
        <v/>
      </c>
      <c r="K26">
        <f>IF(J26="","",IF(J26&lt;=MaxHR*0.6,"Z1",IF(J26&lt;=MaxHR*0.7,"Z2",IF(J26&lt;=MaxHR*0.8,"Z3",IF(J26&lt;=MaxHR*0.9,"Z4","Z5")))))</f>
        <v/>
      </c>
      <c r="L26" s="5">
        <f>IF(AND(F26&lt;&gt;"",J26&lt;&gt;""),ROUND(F26/(J26/100),2),"")</f>
        <v/>
      </c>
      <c r="M26">
        <f>IF(AND('Workout Log'!G26&lt;&gt;"",'Workout Log'!H26&lt;&gt;""),'Workout Log'!H26-'Workout Log'!G26,"")</f>
        <v/>
      </c>
      <c r="N26">
        <f>IF(AND(E26&lt;&gt;"",J26&lt;&gt;""),ROUND((E26*(J26-RestingHR)/(MaxHR-RestingHR))*10,1),"")</f>
        <v/>
      </c>
      <c r="O26">
        <f>IF(AND('Workout Log'!I26&lt;&gt;"",E26&lt;&gt;""),ROUND('Workout Log'!I26*(E26/30),1),"")</f>
        <v/>
      </c>
      <c r="P26">
        <f>IF(O26="","",IF(O26&gt;=8,"High",IF(O26&gt;=5,"Medium","Low")))</f>
        <v/>
      </c>
      <c r="Q26" s="9">
        <f>SUMIFS(D:D,B:B,B26)</f>
        <v/>
      </c>
      <c r="R26" s="9">
        <f>SUM(D$4:D26)</f>
        <v/>
      </c>
    </row>
    <row r="27">
      <c r="A27">
        <f>'Workout Log'!A27</f>
        <v/>
      </c>
      <c r="B27">
        <f>'Workout Log'!B27</f>
        <v/>
      </c>
      <c r="C27">
        <f>'Workout Log'!D27</f>
        <v/>
      </c>
      <c r="D27">
        <f>'Workout Log'!E27</f>
        <v/>
      </c>
      <c r="E27">
        <f>'Workout Log'!F27</f>
        <v/>
      </c>
      <c r="F27" s="5">
        <f>IF(AND(D27&lt;&gt;"",D27&gt;0,E27&lt;&gt;""),E27/D27,"")</f>
        <v/>
      </c>
      <c r="G27" s="8">
        <f>IF(F27&lt;&gt;"",F27-TargetPace,"")</f>
        <v/>
      </c>
      <c r="H27">
        <f>IF(F27="","",IF(F27&lt;=IntervalPace,"Sprint",IF(F27&lt;=TempoPace,"Tempo",IF(F27&lt;=EasyPace,"Easy","Recovery"))))</f>
        <v/>
      </c>
      <c r="I27">
        <f>IF(G27="","",IF(G27&lt;=-0.5,10,IF(G27&lt;=0,8,IF(G27&lt;=0.5,6,IF(G27&lt;=1,4,2)))))</f>
        <v/>
      </c>
      <c r="J27">
        <f>'Workout Log'!G27</f>
        <v/>
      </c>
      <c r="K27">
        <f>IF(J27="","",IF(J27&lt;=MaxHR*0.6,"Z1",IF(J27&lt;=MaxHR*0.7,"Z2",IF(J27&lt;=MaxHR*0.8,"Z3",IF(J27&lt;=MaxHR*0.9,"Z4","Z5")))))</f>
        <v/>
      </c>
      <c r="L27" s="5">
        <f>IF(AND(F27&lt;&gt;"",J27&lt;&gt;""),ROUND(F27/(J27/100),2),"")</f>
        <v/>
      </c>
      <c r="M27">
        <f>IF(AND('Workout Log'!G27&lt;&gt;"",'Workout Log'!H27&lt;&gt;""),'Workout Log'!H27-'Workout Log'!G27,"")</f>
        <v/>
      </c>
      <c r="N27">
        <f>IF(AND(E27&lt;&gt;"",J27&lt;&gt;""),ROUND((E27*(J27-RestingHR)/(MaxHR-RestingHR))*10,1),"")</f>
        <v/>
      </c>
      <c r="O27">
        <f>IF(AND('Workout Log'!I27&lt;&gt;"",E27&lt;&gt;""),ROUND('Workout Log'!I27*(E27/30),1),"")</f>
        <v/>
      </c>
      <c r="P27">
        <f>IF(O27="","",IF(O27&gt;=8,"High",IF(O27&gt;=5,"Medium","Low")))</f>
        <v/>
      </c>
      <c r="Q27" s="9">
        <f>SUMIFS(D:D,B:B,B27)</f>
        <v/>
      </c>
      <c r="R27" s="9">
        <f>SUM(D$4:D27)</f>
        <v/>
      </c>
    </row>
    <row r="28">
      <c r="A28">
        <f>'Workout Log'!A28</f>
        <v/>
      </c>
      <c r="B28">
        <f>'Workout Log'!B28</f>
        <v/>
      </c>
      <c r="C28">
        <f>'Workout Log'!D28</f>
        <v/>
      </c>
      <c r="D28">
        <f>'Workout Log'!E28</f>
        <v/>
      </c>
      <c r="E28">
        <f>'Workout Log'!F28</f>
        <v/>
      </c>
      <c r="F28" s="5">
        <f>IF(AND(D28&lt;&gt;"",D28&gt;0,E28&lt;&gt;""),E28/D28,"")</f>
        <v/>
      </c>
      <c r="G28" s="8">
        <f>IF(F28&lt;&gt;"",F28-TargetPace,"")</f>
        <v/>
      </c>
      <c r="H28">
        <f>IF(F28="","",IF(F28&lt;=IntervalPace,"Sprint",IF(F28&lt;=TempoPace,"Tempo",IF(F28&lt;=EasyPace,"Easy","Recovery"))))</f>
        <v/>
      </c>
      <c r="I28">
        <f>IF(G28="","",IF(G28&lt;=-0.5,10,IF(G28&lt;=0,8,IF(G28&lt;=0.5,6,IF(G28&lt;=1,4,2)))))</f>
        <v/>
      </c>
      <c r="J28">
        <f>'Workout Log'!G28</f>
        <v/>
      </c>
      <c r="K28">
        <f>IF(J28="","",IF(J28&lt;=MaxHR*0.6,"Z1",IF(J28&lt;=MaxHR*0.7,"Z2",IF(J28&lt;=MaxHR*0.8,"Z3",IF(J28&lt;=MaxHR*0.9,"Z4","Z5")))))</f>
        <v/>
      </c>
      <c r="L28" s="5">
        <f>IF(AND(F28&lt;&gt;"",J28&lt;&gt;""),ROUND(F28/(J28/100),2),"")</f>
        <v/>
      </c>
      <c r="M28">
        <f>IF(AND('Workout Log'!G28&lt;&gt;"",'Workout Log'!H28&lt;&gt;""),'Workout Log'!H28-'Workout Log'!G28,"")</f>
        <v/>
      </c>
      <c r="N28">
        <f>IF(AND(E28&lt;&gt;"",J28&lt;&gt;""),ROUND((E28*(J28-RestingHR)/(MaxHR-RestingHR))*10,1),"")</f>
        <v/>
      </c>
      <c r="O28">
        <f>IF(AND('Workout Log'!I28&lt;&gt;"",E28&lt;&gt;""),ROUND('Workout Log'!I28*(E28/30),1),"")</f>
        <v/>
      </c>
      <c r="P28">
        <f>IF(O28="","",IF(O28&gt;=8,"High",IF(O28&gt;=5,"Medium","Low")))</f>
        <v/>
      </c>
      <c r="Q28" s="9">
        <f>SUMIFS(D:D,B:B,B28)</f>
        <v/>
      </c>
      <c r="R28" s="9">
        <f>SUM(D$4:D28)</f>
        <v/>
      </c>
    </row>
    <row r="29">
      <c r="A29">
        <f>'Workout Log'!A29</f>
        <v/>
      </c>
      <c r="B29">
        <f>'Workout Log'!B29</f>
        <v/>
      </c>
      <c r="C29">
        <f>'Workout Log'!D29</f>
        <v/>
      </c>
      <c r="D29">
        <f>'Workout Log'!E29</f>
        <v/>
      </c>
      <c r="E29">
        <f>'Workout Log'!F29</f>
        <v/>
      </c>
      <c r="F29" s="5">
        <f>IF(AND(D29&lt;&gt;"",D29&gt;0,E29&lt;&gt;""),E29/D29,"")</f>
        <v/>
      </c>
      <c r="G29" s="8">
        <f>IF(F29&lt;&gt;"",F29-TargetPace,"")</f>
        <v/>
      </c>
      <c r="H29">
        <f>IF(F29="","",IF(F29&lt;=IntervalPace,"Sprint",IF(F29&lt;=TempoPace,"Tempo",IF(F29&lt;=EasyPace,"Easy","Recovery"))))</f>
        <v/>
      </c>
      <c r="I29">
        <f>IF(G29="","",IF(G29&lt;=-0.5,10,IF(G29&lt;=0,8,IF(G29&lt;=0.5,6,IF(G29&lt;=1,4,2)))))</f>
        <v/>
      </c>
      <c r="J29">
        <f>'Workout Log'!G29</f>
        <v/>
      </c>
      <c r="K29">
        <f>IF(J29="","",IF(J29&lt;=MaxHR*0.6,"Z1",IF(J29&lt;=MaxHR*0.7,"Z2",IF(J29&lt;=MaxHR*0.8,"Z3",IF(J29&lt;=MaxHR*0.9,"Z4","Z5")))))</f>
        <v/>
      </c>
      <c r="L29" s="5">
        <f>IF(AND(F29&lt;&gt;"",J29&lt;&gt;""),ROUND(F29/(J29/100),2),"")</f>
        <v/>
      </c>
      <c r="M29">
        <f>IF(AND('Workout Log'!G29&lt;&gt;"",'Workout Log'!H29&lt;&gt;""),'Workout Log'!H29-'Workout Log'!G29,"")</f>
        <v/>
      </c>
      <c r="N29">
        <f>IF(AND(E29&lt;&gt;"",J29&lt;&gt;""),ROUND((E29*(J29-RestingHR)/(MaxHR-RestingHR))*10,1),"")</f>
        <v/>
      </c>
      <c r="O29">
        <f>IF(AND('Workout Log'!I29&lt;&gt;"",E29&lt;&gt;""),ROUND('Workout Log'!I29*(E29/30),1),"")</f>
        <v/>
      </c>
      <c r="P29">
        <f>IF(O29="","",IF(O29&gt;=8,"High",IF(O29&gt;=5,"Medium","Low")))</f>
        <v/>
      </c>
      <c r="Q29" s="9">
        <f>SUMIFS(D:D,B:B,B29)</f>
        <v/>
      </c>
      <c r="R29" s="9">
        <f>SUM(D$4:D29)</f>
        <v/>
      </c>
    </row>
    <row r="30">
      <c r="A30">
        <f>'Workout Log'!A30</f>
        <v/>
      </c>
      <c r="B30">
        <f>'Workout Log'!B30</f>
        <v/>
      </c>
      <c r="C30">
        <f>'Workout Log'!D30</f>
        <v/>
      </c>
      <c r="D30">
        <f>'Workout Log'!E30</f>
        <v/>
      </c>
      <c r="E30">
        <f>'Workout Log'!F30</f>
        <v/>
      </c>
      <c r="F30" s="5">
        <f>IF(AND(D30&lt;&gt;"",D30&gt;0,E30&lt;&gt;""),E30/D30,"")</f>
        <v/>
      </c>
      <c r="G30" s="8">
        <f>IF(F30&lt;&gt;"",F30-TargetPace,"")</f>
        <v/>
      </c>
      <c r="H30">
        <f>IF(F30="","",IF(F30&lt;=IntervalPace,"Sprint",IF(F30&lt;=TempoPace,"Tempo",IF(F30&lt;=EasyPace,"Easy","Recovery"))))</f>
        <v/>
      </c>
      <c r="I30">
        <f>IF(G30="","",IF(G30&lt;=-0.5,10,IF(G30&lt;=0,8,IF(G30&lt;=0.5,6,IF(G30&lt;=1,4,2)))))</f>
        <v/>
      </c>
      <c r="J30">
        <f>'Workout Log'!G30</f>
        <v/>
      </c>
      <c r="K30">
        <f>IF(J30="","",IF(J30&lt;=MaxHR*0.6,"Z1",IF(J30&lt;=MaxHR*0.7,"Z2",IF(J30&lt;=MaxHR*0.8,"Z3",IF(J30&lt;=MaxHR*0.9,"Z4","Z5")))))</f>
        <v/>
      </c>
      <c r="L30" s="5">
        <f>IF(AND(F30&lt;&gt;"",J30&lt;&gt;""),ROUND(F30/(J30/100),2),"")</f>
        <v/>
      </c>
      <c r="M30">
        <f>IF(AND('Workout Log'!G30&lt;&gt;"",'Workout Log'!H30&lt;&gt;""),'Workout Log'!H30-'Workout Log'!G30,"")</f>
        <v/>
      </c>
      <c r="N30">
        <f>IF(AND(E30&lt;&gt;"",J30&lt;&gt;""),ROUND((E30*(J30-RestingHR)/(MaxHR-RestingHR))*10,1),"")</f>
        <v/>
      </c>
      <c r="O30">
        <f>IF(AND('Workout Log'!I30&lt;&gt;"",E30&lt;&gt;""),ROUND('Workout Log'!I30*(E30/30),1),"")</f>
        <v/>
      </c>
      <c r="P30">
        <f>IF(O30="","",IF(O30&gt;=8,"High",IF(O30&gt;=5,"Medium","Low")))</f>
        <v/>
      </c>
      <c r="Q30" s="9">
        <f>SUMIFS(D:D,B:B,B30)</f>
        <v/>
      </c>
      <c r="R30" s="9">
        <f>SUM(D$4:D30)</f>
        <v/>
      </c>
    </row>
    <row r="31">
      <c r="A31">
        <f>'Workout Log'!A31</f>
        <v/>
      </c>
      <c r="B31">
        <f>'Workout Log'!B31</f>
        <v/>
      </c>
      <c r="C31">
        <f>'Workout Log'!D31</f>
        <v/>
      </c>
      <c r="D31">
        <f>'Workout Log'!E31</f>
        <v/>
      </c>
      <c r="E31">
        <f>'Workout Log'!F31</f>
        <v/>
      </c>
      <c r="F31" s="5">
        <f>IF(AND(D31&lt;&gt;"",D31&gt;0,E31&lt;&gt;""),E31/D31,"")</f>
        <v/>
      </c>
      <c r="G31" s="8">
        <f>IF(F31&lt;&gt;"",F31-TargetPace,"")</f>
        <v/>
      </c>
      <c r="H31">
        <f>IF(F31="","",IF(F31&lt;=IntervalPace,"Sprint",IF(F31&lt;=TempoPace,"Tempo",IF(F31&lt;=EasyPace,"Easy","Recovery"))))</f>
        <v/>
      </c>
      <c r="I31">
        <f>IF(G31="","",IF(G31&lt;=-0.5,10,IF(G31&lt;=0,8,IF(G31&lt;=0.5,6,IF(G31&lt;=1,4,2)))))</f>
        <v/>
      </c>
      <c r="J31">
        <f>'Workout Log'!G31</f>
        <v/>
      </c>
      <c r="K31">
        <f>IF(J31="","",IF(J31&lt;=MaxHR*0.6,"Z1",IF(J31&lt;=MaxHR*0.7,"Z2",IF(J31&lt;=MaxHR*0.8,"Z3",IF(J31&lt;=MaxHR*0.9,"Z4","Z5")))))</f>
        <v/>
      </c>
      <c r="L31" s="5">
        <f>IF(AND(F31&lt;&gt;"",J31&lt;&gt;""),ROUND(F31/(J31/100),2),"")</f>
        <v/>
      </c>
      <c r="M31">
        <f>IF(AND('Workout Log'!G31&lt;&gt;"",'Workout Log'!H31&lt;&gt;""),'Workout Log'!H31-'Workout Log'!G31,"")</f>
        <v/>
      </c>
      <c r="N31">
        <f>IF(AND(E31&lt;&gt;"",J31&lt;&gt;""),ROUND((E31*(J31-RestingHR)/(MaxHR-RestingHR))*10,1),"")</f>
        <v/>
      </c>
      <c r="O31">
        <f>IF(AND('Workout Log'!I31&lt;&gt;"",E31&lt;&gt;""),ROUND('Workout Log'!I31*(E31/30),1),"")</f>
        <v/>
      </c>
      <c r="P31">
        <f>IF(O31="","",IF(O31&gt;=8,"High",IF(O31&gt;=5,"Medium","Low")))</f>
        <v/>
      </c>
      <c r="Q31" s="9">
        <f>SUMIFS(D:D,B:B,B31)</f>
        <v/>
      </c>
      <c r="R31" s="9">
        <f>SUM(D$4:D31)</f>
        <v/>
      </c>
    </row>
    <row r="32">
      <c r="A32">
        <f>'Workout Log'!A32</f>
        <v/>
      </c>
      <c r="B32">
        <f>'Workout Log'!B32</f>
        <v/>
      </c>
      <c r="C32">
        <f>'Workout Log'!D32</f>
        <v/>
      </c>
      <c r="D32">
        <f>'Workout Log'!E32</f>
        <v/>
      </c>
      <c r="E32">
        <f>'Workout Log'!F32</f>
        <v/>
      </c>
      <c r="F32" s="5">
        <f>IF(AND(D32&lt;&gt;"",D32&gt;0,E32&lt;&gt;""),E32/D32,"")</f>
        <v/>
      </c>
      <c r="G32" s="8">
        <f>IF(F32&lt;&gt;"",F32-TargetPace,"")</f>
        <v/>
      </c>
      <c r="H32">
        <f>IF(F32="","",IF(F32&lt;=IntervalPace,"Sprint",IF(F32&lt;=TempoPace,"Tempo",IF(F32&lt;=EasyPace,"Easy","Recovery"))))</f>
        <v/>
      </c>
      <c r="I32">
        <f>IF(G32="","",IF(G32&lt;=-0.5,10,IF(G32&lt;=0,8,IF(G32&lt;=0.5,6,IF(G32&lt;=1,4,2)))))</f>
        <v/>
      </c>
      <c r="J32">
        <f>'Workout Log'!G32</f>
        <v/>
      </c>
      <c r="K32">
        <f>IF(J32="","",IF(J32&lt;=MaxHR*0.6,"Z1",IF(J32&lt;=MaxHR*0.7,"Z2",IF(J32&lt;=MaxHR*0.8,"Z3",IF(J32&lt;=MaxHR*0.9,"Z4","Z5")))))</f>
        <v/>
      </c>
      <c r="L32" s="5">
        <f>IF(AND(F32&lt;&gt;"",J32&lt;&gt;""),ROUND(F32/(J32/100),2),"")</f>
        <v/>
      </c>
      <c r="M32">
        <f>IF(AND('Workout Log'!G32&lt;&gt;"",'Workout Log'!H32&lt;&gt;""),'Workout Log'!H32-'Workout Log'!G32,"")</f>
        <v/>
      </c>
      <c r="N32">
        <f>IF(AND(E32&lt;&gt;"",J32&lt;&gt;""),ROUND((E32*(J32-RestingHR)/(MaxHR-RestingHR))*10,1),"")</f>
        <v/>
      </c>
      <c r="O32">
        <f>IF(AND('Workout Log'!I32&lt;&gt;"",E32&lt;&gt;""),ROUND('Workout Log'!I32*(E32/30),1),"")</f>
        <v/>
      </c>
      <c r="P32">
        <f>IF(O32="","",IF(O32&gt;=8,"High",IF(O32&gt;=5,"Medium","Low")))</f>
        <v/>
      </c>
      <c r="Q32" s="9">
        <f>SUMIFS(D:D,B:B,B32)</f>
        <v/>
      </c>
      <c r="R32" s="9">
        <f>SUM(D$4:D32)</f>
        <v/>
      </c>
    </row>
    <row r="33">
      <c r="A33">
        <f>'Workout Log'!A33</f>
        <v/>
      </c>
      <c r="B33">
        <f>'Workout Log'!B33</f>
        <v/>
      </c>
      <c r="C33">
        <f>'Workout Log'!D33</f>
        <v/>
      </c>
      <c r="D33">
        <f>'Workout Log'!E33</f>
        <v/>
      </c>
      <c r="E33">
        <f>'Workout Log'!F33</f>
        <v/>
      </c>
      <c r="F33" s="5">
        <f>IF(AND(D33&lt;&gt;"",D33&gt;0,E33&lt;&gt;""),E33/D33,"")</f>
        <v/>
      </c>
      <c r="G33" s="8">
        <f>IF(F33&lt;&gt;"",F33-TargetPace,"")</f>
        <v/>
      </c>
      <c r="H33">
        <f>IF(F33="","",IF(F33&lt;=IntervalPace,"Sprint",IF(F33&lt;=TempoPace,"Tempo",IF(F33&lt;=EasyPace,"Easy","Recovery"))))</f>
        <v/>
      </c>
      <c r="I33">
        <f>IF(G33="","",IF(G33&lt;=-0.5,10,IF(G33&lt;=0,8,IF(G33&lt;=0.5,6,IF(G33&lt;=1,4,2)))))</f>
        <v/>
      </c>
      <c r="J33">
        <f>'Workout Log'!G33</f>
        <v/>
      </c>
      <c r="K33">
        <f>IF(J33="","",IF(J33&lt;=MaxHR*0.6,"Z1",IF(J33&lt;=MaxHR*0.7,"Z2",IF(J33&lt;=MaxHR*0.8,"Z3",IF(J33&lt;=MaxHR*0.9,"Z4","Z5")))))</f>
        <v/>
      </c>
      <c r="L33" s="5">
        <f>IF(AND(F33&lt;&gt;"",J33&lt;&gt;""),ROUND(F33/(J33/100),2),"")</f>
        <v/>
      </c>
      <c r="M33">
        <f>IF(AND('Workout Log'!G33&lt;&gt;"",'Workout Log'!H33&lt;&gt;""),'Workout Log'!H33-'Workout Log'!G33,"")</f>
        <v/>
      </c>
      <c r="N33">
        <f>IF(AND(E33&lt;&gt;"",J33&lt;&gt;""),ROUND((E33*(J33-RestingHR)/(MaxHR-RestingHR))*10,1),"")</f>
        <v/>
      </c>
      <c r="O33">
        <f>IF(AND('Workout Log'!I33&lt;&gt;"",E33&lt;&gt;""),ROUND('Workout Log'!I33*(E33/30),1),"")</f>
        <v/>
      </c>
      <c r="P33">
        <f>IF(O33="","",IF(O33&gt;=8,"High",IF(O33&gt;=5,"Medium","Low")))</f>
        <v/>
      </c>
      <c r="Q33" s="9">
        <f>SUMIFS(D:D,B:B,B33)</f>
        <v/>
      </c>
      <c r="R33" s="9">
        <f>SUM(D$4:D33)</f>
        <v/>
      </c>
    </row>
    <row r="34">
      <c r="A34">
        <f>'Workout Log'!A34</f>
        <v/>
      </c>
      <c r="B34">
        <f>'Workout Log'!B34</f>
        <v/>
      </c>
      <c r="C34">
        <f>'Workout Log'!D34</f>
        <v/>
      </c>
      <c r="D34">
        <f>'Workout Log'!E34</f>
        <v/>
      </c>
      <c r="E34">
        <f>'Workout Log'!F34</f>
        <v/>
      </c>
      <c r="F34" s="5">
        <f>IF(AND(D34&lt;&gt;"",D34&gt;0,E34&lt;&gt;""),E34/D34,"")</f>
        <v/>
      </c>
      <c r="G34" s="8">
        <f>IF(F34&lt;&gt;"",F34-TargetPace,"")</f>
        <v/>
      </c>
      <c r="H34">
        <f>IF(F34="","",IF(F34&lt;=IntervalPace,"Sprint",IF(F34&lt;=TempoPace,"Tempo",IF(F34&lt;=EasyPace,"Easy","Recovery"))))</f>
        <v/>
      </c>
      <c r="I34">
        <f>IF(G34="","",IF(G34&lt;=-0.5,10,IF(G34&lt;=0,8,IF(G34&lt;=0.5,6,IF(G34&lt;=1,4,2)))))</f>
        <v/>
      </c>
      <c r="J34">
        <f>'Workout Log'!G34</f>
        <v/>
      </c>
      <c r="K34">
        <f>IF(J34="","",IF(J34&lt;=MaxHR*0.6,"Z1",IF(J34&lt;=MaxHR*0.7,"Z2",IF(J34&lt;=MaxHR*0.8,"Z3",IF(J34&lt;=MaxHR*0.9,"Z4","Z5")))))</f>
        <v/>
      </c>
      <c r="L34" s="5">
        <f>IF(AND(F34&lt;&gt;"",J34&lt;&gt;""),ROUND(F34/(J34/100),2),"")</f>
        <v/>
      </c>
      <c r="M34">
        <f>IF(AND('Workout Log'!G34&lt;&gt;"",'Workout Log'!H34&lt;&gt;""),'Workout Log'!H34-'Workout Log'!G34,"")</f>
        <v/>
      </c>
      <c r="N34">
        <f>IF(AND(E34&lt;&gt;"",J34&lt;&gt;""),ROUND((E34*(J34-RestingHR)/(MaxHR-RestingHR))*10,1),"")</f>
        <v/>
      </c>
      <c r="O34">
        <f>IF(AND('Workout Log'!I34&lt;&gt;"",E34&lt;&gt;""),ROUND('Workout Log'!I34*(E34/30),1),"")</f>
        <v/>
      </c>
      <c r="P34">
        <f>IF(O34="","",IF(O34&gt;=8,"High",IF(O34&gt;=5,"Medium","Low")))</f>
        <v/>
      </c>
      <c r="Q34" s="9">
        <f>SUMIFS(D:D,B:B,B34)</f>
        <v/>
      </c>
      <c r="R34" s="9">
        <f>SUM(D$4:D34)</f>
        <v/>
      </c>
    </row>
    <row r="35">
      <c r="A35">
        <f>'Workout Log'!A35</f>
        <v/>
      </c>
      <c r="B35">
        <f>'Workout Log'!B35</f>
        <v/>
      </c>
      <c r="C35">
        <f>'Workout Log'!D35</f>
        <v/>
      </c>
      <c r="D35">
        <f>'Workout Log'!E35</f>
        <v/>
      </c>
      <c r="E35">
        <f>'Workout Log'!F35</f>
        <v/>
      </c>
      <c r="F35" s="5">
        <f>IF(AND(D35&lt;&gt;"",D35&gt;0,E35&lt;&gt;""),E35/D35,"")</f>
        <v/>
      </c>
      <c r="G35" s="8">
        <f>IF(F35&lt;&gt;"",F35-TargetPace,"")</f>
        <v/>
      </c>
      <c r="H35">
        <f>IF(F35="","",IF(F35&lt;=IntervalPace,"Sprint",IF(F35&lt;=TempoPace,"Tempo",IF(F35&lt;=EasyPace,"Easy","Recovery"))))</f>
        <v/>
      </c>
      <c r="I35">
        <f>IF(G35="","",IF(G35&lt;=-0.5,10,IF(G35&lt;=0,8,IF(G35&lt;=0.5,6,IF(G35&lt;=1,4,2)))))</f>
        <v/>
      </c>
      <c r="J35">
        <f>'Workout Log'!G35</f>
        <v/>
      </c>
      <c r="K35">
        <f>IF(J35="","",IF(J35&lt;=MaxHR*0.6,"Z1",IF(J35&lt;=MaxHR*0.7,"Z2",IF(J35&lt;=MaxHR*0.8,"Z3",IF(J35&lt;=MaxHR*0.9,"Z4","Z5")))))</f>
        <v/>
      </c>
      <c r="L35" s="5">
        <f>IF(AND(F35&lt;&gt;"",J35&lt;&gt;""),ROUND(F35/(J35/100),2),"")</f>
        <v/>
      </c>
      <c r="M35">
        <f>IF(AND('Workout Log'!G35&lt;&gt;"",'Workout Log'!H35&lt;&gt;""),'Workout Log'!H35-'Workout Log'!G35,"")</f>
        <v/>
      </c>
      <c r="N35">
        <f>IF(AND(E35&lt;&gt;"",J35&lt;&gt;""),ROUND((E35*(J35-RestingHR)/(MaxHR-RestingHR))*10,1),"")</f>
        <v/>
      </c>
      <c r="O35">
        <f>IF(AND('Workout Log'!I35&lt;&gt;"",E35&lt;&gt;""),ROUND('Workout Log'!I35*(E35/30),1),"")</f>
        <v/>
      </c>
      <c r="P35">
        <f>IF(O35="","",IF(O35&gt;=8,"High",IF(O35&gt;=5,"Medium","Low")))</f>
        <v/>
      </c>
      <c r="Q35" s="9">
        <f>SUMIFS(D:D,B:B,B35)</f>
        <v/>
      </c>
      <c r="R35" s="9">
        <f>SUM(D$4:D35)</f>
        <v/>
      </c>
    </row>
    <row r="36">
      <c r="A36">
        <f>'Workout Log'!A36</f>
        <v/>
      </c>
      <c r="B36">
        <f>'Workout Log'!B36</f>
        <v/>
      </c>
      <c r="C36">
        <f>'Workout Log'!D36</f>
        <v/>
      </c>
      <c r="D36">
        <f>'Workout Log'!E36</f>
        <v/>
      </c>
      <c r="E36">
        <f>'Workout Log'!F36</f>
        <v/>
      </c>
      <c r="F36" s="5">
        <f>IF(AND(D36&lt;&gt;"",D36&gt;0,E36&lt;&gt;""),E36/D36,"")</f>
        <v/>
      </c>
      <c r="G36" s="8">
        <f>IF(F36&lt;&gt;"",F36-TargetPace,"")</f>
        <v/>
      </c>
      <c r="H36">
        <f>IF(F36="","",IF(F36&lt;=IntervalPace,"Sprint",IF(F36&lt;=TempoPace,"Tempo",IF(F36&lt;=EasyPace,"Easy","Recovery"))))</f>
        <v/>
      </c>
      <c r="I36">
        <f>IF(G36="","",IF(G36&lt;=-0.5,10,IF(G36&lt;=0,8,IF(G36&lt;=0.5,6,IF(G36&lt;=1,4,2)))))</f>
        <v/>
      </c>
      <c r="J36">
        <f>'Workout Log'!G36</f>
        <v/>
      </c>
      <c r="K36">
        <f>IF(J36="","",IF(J36&lt;=MaxHR*0.6,"Z1",IF(J36&lt;=MaxHR*0.7,"Z2",IF(J36&lt;=MaxHR*0.8,"Z3",IF(J36&lt;=MaxHR*0.9,"Z4","Z5")))))</f>
        <v/>
      </c>
      <c r="L36" s="5">
        <f>IF(AND(F36&lt;&gt;"",J36&lt;&gt;""),ROUND(F36/(J36/100),2),"")</f>
        <v/>
      </c>
      <c r="M36">
        <f>IF(AND('Workout Log'!G36&lt;&gt;"",'Workout Log'!H36&lt;&gt;""),'Workout Log'!H36-'Workout Log'!G36,"")</f>
        <v/>
      </c>
      <c r="N36">
        <f>IF(AND(E36&lt;&gt;"",J36&lt;&gt;""),ROUND((E36*(J36-RestingHR)/(MaxHR-RestingHR))*10,1),"")</f>
        <v/>
      </c>
      <c r="O36">
        <f>IF(AND('Workout Log'!I36&lt;&gt;"",E36&lt;&gt;""),ROUND('Workout Log'!I36*(E36/30),1),"")</f>
        <v/>
      </c>
      <c r="P36">
        <f>IF(O36="","",IF(O36&gt;=8,"High",IF(O36&gt;=5,"Medium","Low")))</f>
        <v/>
      </c>
      <c r="Q36" s="9">
        <f>SUMIFS(D:D,B:B,B36)</f>
        <v/>
      </c>
      <c r="R36" s="9">
        <f>SUM(D$4:D36)</f>
        <v/>
      </c>
    </row>
    <row r="37">
      <c r="A37">
        <f>'Workout Log'!A37</f>
        <v/>
      </c>
      <c r="B37">
        <f>'Workout Log'!B37</f>
        <v/>
      </c>
      <c r="C37">
        <f>'Workout Log'!D37</f>
        <v/>
      </c>
      <c r="D37">
        <f>'Workout Log'!E37</f>
        <v/>
      </c>
      <c r="E37">
        <f>'Workout Log'!F37</f>
        <v/>
      </c>
      <c r="F37" s="5">
        <f>IF(AND(D37&lt;&gt;"",D37&gt;0,E37&lt;&gt;""),E37/D37,"")</f>
        <v/>
      </c>
      <c r="G37" s="8">
        <f>IF(F37&lt;&gt;"",F37-TargetPace,"")</f>
        <v/>
      </c>
      <c r="H37">
        <f>IF(F37="","",IF(F37&lt;=IntervalPace,"Sprint",IF(F37&lt;=TempoPace,"Tempo",IF(F37&lt;=EasyPace,"Easy","Recovery"))))</f>
        <v/>
      </c>
      <c r="I37">
        <f>IF(G37="","",IF(G37&lt;=-0.5,10,IF(G37&lt;=0,8,IF(G37&lt;=0.5,6,IF(G37&lt;=1,4,2)))))</f>
        <v/>
      </c>
      <c r="J37">
        <f>'Workout Log'!G37</f>
        <v/>
      </c>
      <c r="K37">
        <f>IF(J37="","",IF(J37&lt;=MaxHR*0.6,"Z1",IF(J37&lt;=MaxHR*0.7,"Z2",IF(J37&lt;=MaxHR*0.8,"Z3",IF(J37&lt;=MaxHR*0.9,"Z4","Z5")))))</f>
        <v/>
      </c>
      <c r="L37" s="5">
        <f>IF(AND(F37&lt;&gt;"",J37&lt;&gt;""),ROUND(F37/(J37/100),2),"")</f>
        <v/>
      </c>
      <c r="M37">
        <f>IF(AND('Workout Log'!G37&lt;&gt;"",'Workout Log'!H37&lt;&gt;""),'Workout Log'!H37-'Workout Log'!G37,"")</f>
        <v/>
      </c>
      <c r="N37">
        <f>IF(AND(E37&lt;&gt;"",J37&lt;&gt;""),ROUND((E37*(J37-RestingHR)/(MaxHR-RestingHR))*10,1),"")</f>
        <v/>
      </c>
      <c r="O37">
        <f>IF(AND('Workout Log'!I37&lt;&gt;"",E37&lt;&gt;""),ROUND('Workout Log'!I37*(E37/30),1),"")</f>
        <v/>
      </c>
      <c r="P37">
        <f>IF(O37="","",IF(O37&gt;=8,"High",IF(O37&gt;=5,"Medium","Low")))</f>
        <v/>
      </c>
      <c r="Q37" s="9">
        <f>SUMIFS(D:D,B:B,B37)</f>
        <v/>
      </c>
      <c r="R37" s="9">
        <f>SUM(D$4:D37)</f>
        <v/>
      </c>
    </row>
    <row r="38">
      <c r="A38">
        <f>'Workout Log'!A38</f>
        <v/>
      </c>
      <c r="B38">
        <f>'Workout Log'!B38</f>
        <v/>
      </c>
      <c r="C38">
        <f>'Workout Log'!D38</f>
        <v/>
      </c>
      <c r="D38">
        <f>'Workout Log'!E38</f>
        <v/>
      </c>
      <c r="E38">
        <f>'Workout Log'!F38</f>
        <v/>
      </c>
      <c r="F38" s="5">
        <f>IF(AND(D38&lt;&gt;"",D38&gt;0,E38&lt;&gt;""),E38/D38,"")</f>
        <v/>
      </c>
      <c r="G38" s="8">
        <f>IF(F38&lt;&gt;"",F38-TargetPace,"")</f>
        <v/>
      </c>
      <c r="H38">
        <f>IF(F38="","",IF(F38&lt;=IntervalPace,"Sprint",IF(F38&lt;=TempoPace,"Tempo",IF(F38&lt;=EasyPace,"Easy","Recovery"))))</f>
        <v/>
      </c>
      <c r="I38">
        <f>IF(G38="","",IF(G38&lt;=-0.5,10,IF(G38&lt;=0,8,IF(G38&lt;=0.5,6,IF(G38&lt;=1,4,2)))))</f>
        <v/>
      </c>
      <c r="J38">
        <f>'Workout Log'!G38</f>
        <v/>
      </c>
      <c r="K38">
        <f>IF(J38="","",IF(J38&lt;=MaxHR*0.6,"Z1",IF(J38&lt;=MaxHR*0.7,"Z2",IF(J38&lt;=MaxHR*0.8,"Z3",IF(J38&lt;=MaxHR*0.9,"Z4","Z5")))))</f>
        <v/>
      </c>
      <c r="L38" s="5">
        <f>IF(AND(F38&lt;&gt;"",J38&lt;&gt;""),ROUND(F38/(J38/100),2),"")</f>
        <v/>
      </c>
      <c r="M38">
        <f>IF(AND('Workout Log'!G38&lt;&gt;"",'Workout Log'!H38&lt;&gt;""),'Workout Log'!H38-'Workout Log'!G38,"")</f>
        <v/>
      </c>
      <c r="N38">
        <f>IF(AND(E38&lt;&gt;"",J38&lt;&gt;""),ROUND((E38*(J38-RestingHR)/(MaxHR-RestingHR))*10,1),"")</f>
        <v/>
      </c>
      <c r="O38">
        <f>IF(AND('Workout Log'!I38&lt;&gt;"",E38&lt;&gt;""),ROUND('Workout Log'!I38*(E38/30),1),"")</f>
        <v/>
      </c>
      <c r="P38">
        <f>IF(O38="","",IF(O38&gt;=8,"High",IF(O38&gt;=5,"Medium","Low")))</f>
        <v/>
      </c>
      <c r="Q38" s="9">
        <f>SUMIFS(D:D,B:B,B38)</f>
        <v/>
      </c>
      <c r="R38" s="9">
        <f>SUM(D$4:D38)</f>
        <v/>
      </c>
    </row>
    <row r="39">
      <c r="A39">
        <f>'Workout Log'!A39</f>
        <v/>
      </c>
      <c r="B39">
        <f>'Workout Log'!B39</f>
        <v/>
      </c>
      <c r="C39">
        <f>'Workout Log'!D39</f>
        <v/>
      </c>
      <c r="D39">
        <f>'Workout Log'!E39</f>
        <v/>
      </c>
      <c r="E39">
        <f>'Workout Log'!F39</f>
        <v/>
      </c>
      <c r="F39" s="5">
        <f>IF(AND(D39&lt;&gt;"",D39&gt;0,E39&lt;&gt;""),E39/D39,"")</f>
        <v/>
      </c>
      <c r="G39" s="8">
        <f>IF(F39&lt;&gt;"",F39-TargetPace,"")</f>
        <v/>
      </c>
      <c r="H39">
        <f>IF(F39="","",IF(F39&lt;=IntervalPace,"Sprint",IF(F39&lt;=TempoPace,"Tempo",IF(F39&lt;=EasyPace,"Easy","Recovery"))))</f>
        <v/>
      </c>
      <c r="I39">
        <f>IF(G39="","",IF(G39&lt;=-0.5,10,IF(G39&lt;=0,8,IF(G39&lt;=0.5,6,IF(G39&lt;=1,4,2)))))</f>
        <v/>
      </c>
      <c r="J39">
        <f>'Workout Log'!G39</f>
        <v/>
      </c>
      <c r="K39">
        <f>IF(J39="","",IF(J39&lt;=MaxHR*0.6,"Z1",IF(J39&lt;=MaxHR*0.7,"Z2",IF(J39&lt;=MaxHR*0.8,"Z3",IF(J39&lt;=MaxHR*0.9,"Z4","Z5")))))</f>
        <v/>
      </c>
      <c r="L39" s="5">
        <f>IF(AND(F39&lt;&gt;"",J39&lt;&gt;""),ROUND(F39/(J39/100),2),"")</f>
        <v/>
      </c>
      <c r="M39">
        <f>IF(AND('Workout Log'!G39&lt;&gt;"",'Workout Log'!H39&lt;&gt;""),'Workout Log'!H39-'Workout Log'!G39,"")</f>
        <v/>
      </c>
      <c r="N39">
        <f>IF(AND(E39&lt;&gt;"",J39&lt;&gt;""),ROUND((E39*(J39-RestingHR)/(MaxHR-RestingHR))*10,1),"")</f>
        <v/>
      </c>
      <c r="O39">
        <f>IF(AND('Workout Log'!I39&lt;&gt;"",E39&lt;&gt;""),ROUND('Workout Log'!I39*(E39/30),1),"")</f>
        <v/>
      </c>
      <c r="P39">
        <f>IF(O39="","",IF(O39&gt;=8,"High",IF(O39&gt;=5,"Medium","Low")))</f>
        <v/>
      </c>
      <c r="Q39" s="9">
        <f>SUMIFS(D:D,B:B,B39)</f>
        <v/>
      </c>
      <c r="R39" s="9">
        <f>SUM(D$4:D39)</f>
        <v/>
      </c>
    </row>
    <row r="40">
      <c r="A40">
        <f>'Workout Log'!A40</f>
        <v/>
      </c>
      <c r="B40">
        <f>'Workout Log'!B40</f>
        <v/>
      </c>
      <c r="C40">
        <f>'Workout Log'!D40</f>
        <v/>
      </c>
      <c r="D40">
        <f>'Workout Log'!E40</f>
        <v/>
      </c>
      <c r="E40">
        <f>'Workout Log'!F40</f>
        <v/>
      </c>
      <c r="F40" s="5">
        <f>IF(AND(D40&lt;&gt;"",D40&gt;0,E40&lt;&gt;""),E40/D40,"")</f>
        <v/>
      </c>
      <c r="G40" s="8">
        <f>IF(F40&lt;&gt;"",F40-TargetPace,"")</f>
        <v/>
      </c>
      <c r="H40">
        <f>IF(F40="","",IF(F40&lt;=IntervalPace,"Sprint",IF(F40&lt;=TempoPace,"Tempo",IF(F40&lt;=EasyPace,"Easy","Recovery"))))</f>
        <v/>
      </c>
      <c r="I40">
        <f>IF(G40="","",IF(G40&lt;=-0.5,10,IF(G40&lt;=0,8,IF(G40&lt;=0.5,6,IF(G40&lt;=1,4,2)))))</f>
        <v/>
      </c>
      <c r="J40">
        <f>'Workout Log'!G40</f>
        <v/>
      </c>
      <c r="K40">
        <f>IF(J40="","",IF(J40&lt;=MaxHR*0.6,"Z1",IF(J40&lt;=MaxHR*0.7,"Z2",IF(J40&lt;=MaxHR*0.8,"Z3",IF(J40&lt;=MaxHR*0.9,"Z4","Z5")))))</f>
        <v/>
      </c>
      <c r="L40" s="5">
        <f>IF(AND(F40&lt;&gt;"",J40&lt;&gt;""),ROUND(F40/(J40/100),2),"")</f>
        <v/>
      </c>
      <c r="M40">
        <f>IF(AND('Workout Log'!G40&lt;&gt;"",'Workout Log'!H40&lt;&gt;""),'Workout Log'!H40-'Workout Log'!G40,"")</f>
        <v/>
      </c>
      <c r="N40">
        <f>IF(AND(E40&lt;&gt;"",J40&lt;&gt;""),ROUND((E40*(J40-RestingHR)/(MaxHR-RestingHR))*10,1),"")</f>
        <v/>
      </c>
      <c r="O40">
        <f>IF(AND('Workout Log'!I40&lt;&gt;"",E40&lt;&gt;""),ROUND('Workout Log'!I40*(E40/30),1),"")</f>
        <v/>
      </c>
      <c r="P40">
        <f>IF(O40="","",IF(O40&gt;=8,"High",IF(O40&gt;=5,"Medium","Low")))</f>
        <v/>
      </c>
      <c r="Q40" s="9">
        <f>SUMIFS(D:D,B:B,B40)</f>
        <v/>
      </c>
      <c r="R40" s="9">
        <f>SUM(D$4:D40)</f>
        <v/>
      </c>
    </row>
    <row r="41">
      <c r="A41">
        <f>'Workout Log'!A41</f>
        <v/>
      </c>
      <c r="B41">
        <f>'Workout Log'!B41</f>
        <v/>
      </c>
      <c r="C41">
        <f>'Workout Log'!D41</f>
        <v/>
      </c>
      <c r="D41">
        <f>'Workout Log'!E41</f>
        <v/>
      </c>
      <c r="E41">
        <f>'Workout Log'!F41</f>
        <v/>
      </c>
      <c r="F41" s="5">
        <f>IF(AND(D41&lt;&gt;"",D41&gt;0,E41&lt;&gt;""),E41/D41,"")</f>
        <v/>
      </c>
      <c r="G41" s="8">
        <f>IF(F41&lt;&gt;"",F41-TargetPace,"")</f>
        <v/>
      </c>
      <c r="H41">
        <f>IF(F41="","",IF(F41&lt;=IntervalPace,"Sprint",IF(F41&lt;=TempoPace,"Tempo",IF(F41&lt;=EasyPace,"Easy","Recovery"))))</f>
        <v/>
      </c>
      <c r="I41">
        <f>IF(G41="","",IF(G41&lt;=-0.5,10,IF(G41&lt;=0,8,IF(G41&lt;=0.5,6,IF(G41&lt;=1,4,2)))))</f>
        <v/>
      </c>
      <c r="J41">
        <f>'Workout Log'!G41</f>
        <v/>
      </c>
      <c r="K41">
        <f>IF(J41="","",IF(J41&lt;=MaxHR*0.6,"Z1",IF(J41&lt;=MaxHR*0.7,"Z2",IF(J41&lt;=MaxHR*0.8,"Z3",IF(J41&lt;=MaxHR*0.9,"Z4","Z5")))))</f>
        <v/>
      </c>
      <c r="L41" s="5">
        <f>IF(AND(F41&lt;&gt;"",J41&lt;&gt;""),ROUND(F41/(J41/100),2),"")</f>
        <v/>
      </c>
      <c r="M41">
        <f>IF(AND('Workout Log'!G41&lt;&gt;"",'Workout Log'!H41&lt;&gt;""),'Workout Log'!H41-'Workout Log'!G41,"")</f>
        <v/>
      </c>
      <c r="N41">
        <f>IF(AND(E41&lt;&gt;"",J41&lt;&gt;""),ROUND((E41*(J41-RestingHR)/(MaxHR-RestingHR))*10,1),"")</f>
        <v/>
      </c>
      <c r="O41">
        <f>IF(AND('Workout Log'!I41&lt;&gt;"",E41&lt;&gt;""),ROUND('Workout Log'!I41*(E41/30),1),"")</f>
        <v/>
      </c>
      <c r="P41">
        <f>IF(O41="","",IF(O41&gt;=8,"High",IF(O41&gt;=5,"Medium","Low")))</f>
        <v/>
      </c>
      <c r="Q41" s="9">
        <f>SUMIFS(D:D,B:B,B41)</f>
        <v/>
      </c>
      <c r="R41" s="9">
        <f>SUM(D$4:D41)</f>
        <v/>
      </c>
    </row>
    <row r="42">
      <c r="A42">
        <f>'Workout Log'!A42</f>
        <v/>
      </c>
      <c r="B42">
        <f>'Workout Log'!B42</f>
        <v/>
      </c>
      <c r="C42">
        <f>'Workout Log'!D42</f>
        <v/>
      </c>
      <c r="D42">
        <f>'Workout Log'!E42</f>
        <v/>
      </c>
      <c r="E42">
        <f>'Workout Log'!F42</f>
        <v/>
      </c>
      <c r="F42" s="5">
        <f>IF(AND(D42&lt;&gt;"",D42&gt;0,E42&lt;&gt;""),E42/D42,"")</f>
        <v/>
      </c>
      <c r="G42" s="8">
        <f>IF(F42&lt;&gt;"",F42-TargetPace,"")</f>
        <v/>
      </c>
      <c r="H42">
        <f>IF(F42="","",IF(F42&lt;=IntervalPace,"Sprint",IF(F42&lt;=TempoPace,"Tempo",IF(F42&lt;=EasyPace,"Easy","Recovery"))))</f>
        <v/>
      </c>
      <c r="I42">
        <f>IF(G42="","",IF(G42&lt;=-0.5,10,IF(G42&lt;=0,8,IF(G42&lt;=0.5,6,IF(G42&lt;=1,4,2)))))</f>
        <v/>
      </c>
      <c r="J42">
        <f>'Workout Log'!G42</f>
        <v/>
      </c>
      <c r="K42">
        <f>IF(J42="","",IF(J42&lt;=MaxHR*0.6,"Z1",IF(J42&lt;=MaxHR*0.7,"Z2",IF(J42&lt;=MaxHR*0.8,"Z3",IF(J42&lt;=MaxHR*0.9,"Z4","Z5")))))</f>
        <v/>
      </c>
      <c r="L42" s="5">
        <f>IF(AND(F42&lt;&gt;"",J42&lt;&gt;""),ROUND(F42/(J42/100),2),"")</f>
        <v/>
      </c>
      <c r="M42">
        <f>IF(AND('Workout Log'!G42&lt;&gt;"",'Workout Log'!H42&lt;&gt;""),'Workout Log'!H42-'Workout Log'!G42,"")</f>
        <v/>
      </c>
      <c r="N42">
        <f>IF(AND(E42&lt;&gt;"",J42&lt;&gt;""),ROUND((E42*(J42-RestingHR)/(MaxHR-RestingHR))*10,1),"")</f>
        <v/>
      </c>
      <c r="O42">
        <f>IF(AND('Workout Log'!I42&lt;&gt;"",E42&lt;&gt;""),ROUND('Workout Log'!I42*(E42/30),1),"")</f>
        <v/>
      </c>
      <c r="P42">
        <f>IF(O42="","",IF(O42&gt;=8,"High",IF(O42&gt;=5,"Medium","Low")))</f>
        <v/>
      </c>
      <c r="Q42" s="9">
        <f>SUMIFS(D:D,B:B,B42)</f>
        <v/>
      </c>
      <c r="R42" s="9">
        <f>SUM(D$4:D42)</f>
        <v/>
      </c>
    </row>
    <row r="43">
      <c r="A43">
        <f>'Workout Log'!A43</f>
        <v/>
      </c>
      <c r="B43">
        <f>'Workout Log'!B43</f>
        <v/>
      </c>
      <c r="C43">
        <f>'Workout Log'!D43</f>
        <v/>
      </c>
      <c r="D43">
        <f>'Workout Log'!E43</f>
        <v/>
      </c>
      <c r="E43">
        <f>'Workout Log'!F43</f>
        <v/>
      </c>
      <c r="F43" s="5">
        <f>IF(AND(D43&lt;&gt;"",D43&gt;0,E43&lt;&gt;""),E43/D43,"")</f>
        <v/>
      </c>
      <c r="G43" s="8">
        <f>IF(F43&lt;&gt;"",F43-TargetPace,"")</f>
        <v/>
      </c>
      <c r="H43">
        <f>IF(F43="","",IF(F43&lt;=IntervalPace,"Sprint",IF(F43&lt;=TempoPace,"Tempo",IF(F43&lt;=EasyPace,"Easy","Recovery"))))</f>
        <v/>
      </c>
      <c r="I43">
        <f>IF(G43="","",IF(G43&lt;=-0.5,10,IF(G43&lt;=0,8,IF(G43&lt;=0.5,6,IF(G43&lt;=1,4,2)))))</f>
        <v/>
      </c>
      <c r="J43">
        <f>'Workout Log'!G43</f>
        <v/>
      </c>
      <c r="K43">
        <f>IF(J43="","",IF(J43&lt;=MaxHR*0.6,"Z1",IF(J43&lt;=MaxHR*0.7,"Z2",IF(J43&lt;=MaxHR*0.8,"Z3",IF(J43&lt;=MaxHR*0.9,"Z4","Z5")))))</f>
        <v/>
      </c>
      <c r="L43" s="5">
        <f>IF(AND(F43&lt;&gt;"",J43&lt;&gt;""),ROUND(F43/(J43/100),2),"")</f>
        <v/>
      </c>
      <c r="M43">
        <f>IF(AND('Workout Log'!G43&lt;&gt;"",'Workout Log'!H43&lt;&gt;""),'Workout Log'!H43-'Workout Log'!G43,"")</f>
        <v/>
      </c>
      <c r="N43">
        <f>IF(AND(E43&lt;&gt;"",J43&lt;&gt;""),ROUND((E43*(J43-RestingHR)/(MaxHR-RestingHR))*10,1),"")</f>
        <v/>
      </c>
      <c r="O43">
        <f>IF(AND('Workout Log'!I43&lt;&gt;"",E43&lt;&gt;""),ROUND('Workout Log'!I43*(E43/30),1),"")</f>
        <v/>
      </c>
      <c r="P43">
        <f>IF(O43="","",IF(O43&gt;=8,"High",IF(O43&gt;=5,"Medium","Low")))</f>
        <v/>
      </c>
      <c r="Q43" s="9">
        <f>SUMIFS(D:D,B:B,B43)</f>
        <v/>
      </c>
      <c r="R43" s="9">
        <f>SUM(D$4:D43)</f>
        <v/>
      </c>
    </row>
    <row r="44">
      <c r="A44">
        <f>'Workout Log'!A44</f>
        <v/>
      </c>
      <c r="B44">
        <f>'Workout Log'!B44</f>
        <v/>
      </c>
      <c r="C44">
        <f>'Workout Log'!D44</f>
        <v/>
      </c>
      <c r="D44">
        <f>'Workout Log'!E44</f>
        <v/>
      </c>
      <c r="E44">
        <f>'Workout Log'!F44</f>
        <v/>
      </c>
      <c r="F44" s="5">
        <f>IF(AND(D44&lt;&gt;"",D44&gt;0,E44&lt;&gt;""),E44/D44,"")</f>
        <v/>
      </c>
      <c r="G44" s="8">
        <f>IF(F44&lt;&gt;"",F44-TargetPace,"")</f>
        <v/>
      </c>
      <c r="H44">
        <f>IF(F44="","",IF(F44&lt;=IntervalPace,"Sprint",IF(F44&lt;=TempoPace,"Tempo",IF(F44&lt;=EasyPace,"Easy","Recovery"))))</f>
        <v/>
      </c>
      <c r="I44">
        <f>IF(G44="","",IF(G44&lt;=-0.5,10,IF(G44&lt;=0,8,IF(G44&lt;=0.5,6,IF(G44&lt;=1,4,2)))))</f>
        <v/>
      </c>
      <c r="J44">
        <f>'Workout Log'!G44</f>
        <v/>
      </c>
      <c r="K44">
        <f>IF(J44="","",IF(J44&lt;=MaxHR*0.6,"Z1",IF(J44&lt;=MaxHR*0.7,"Z2",IF(J44&lt;=MaxHR*0.8,"Z3",IF(J44&lt;=MaxHR*0.9,"Z4","Z5")))))</f>
        <v/>
      </c>
      <c r="L44" s="5">
        <f>IF(AND(F44&lt;&gt;"",J44&lt;&gt;""),ROUND(F44/(J44/100),2),"")</f>
        <v/>
      </c>
      <c r="M44">
        <f>IF(AND('Workout Log'!G44&lt;&gt;"",'Workout Log'!H44&lt;&gt;""),'Workout Log'!H44-'Workout Log'!G44,"")</f>
        <v/>
      </c>
      <c r="N44">
        <f>IF(AND(E44&lt;&gt;"",J44&lt;&gt;""),ROUND((E44*(J44-RestingHR)/(MaxHR-RestingHR))*10,1),"")</f>
        <v/>
      </c>
      <c r="O44">
        <f>IF(AND('Workout Log'!I44&lt;&gt;"",E44&lt;&gt;""),ROUND('Workout Log'!I44*(E44/30),1),"")</f>
        <v/>
      </c>
      <c r="P44">
        <f>IF(O44="","",IF(O44&gt;=8,"High",IF(O44&gt;=5,"Medium","Low")))</f>
        <v/>
      </c>
      <c r="Q44" s="9">
        <f>SUMIFS(D:D,B:B,B44)</f>
        <v/>
      </c>
      <c r="R44" s="9">
        <f>SUM(D$4:D44)</f>
        <v/>
      </c>
    </row>
    <row r="45">
      <c r="A45">
        <f>'Workout Log'!A45</f>
        <v/>
      </c>
      <c r="B45">
        <f>'Workout Log'!B45</f>
        <v/>
      </c>
      <c r="C45">
        <f>'Workout Log'!D45</f>
        <v/>
      </c>
      <c r="D45">
        <f>'Workout Log'!E45</f>
        <v/>
      </c>
      <c r="E45">
        <f>'Workout Log'!F45</f>
        <v/>
      </c>
      <c r="F45" s="5">
        <f>IF(AND(D45&lt;&gt;"",D45&gt;0,E45&lt;&gt;""),E45/D45,"")</f>
        <v/>
      </c>
      <c r="G45" s="8">
        <f>IF(F45&lt;&gt;"",F45-TargetPace,"")</f>
        <v/>
      </c>
      <c r="H45">
        <f>IF(F45="","",IF(F45&lt;=IntervalPace,"Sprint",IF(F45&lt;=TempoPace,"Tempo",IF(F45&lt;=EasyPace,"Easy","Recovery"))))</f>
        <v/>
      </c>
      <c r="I45">
        <f>IF(G45="","",IF(G45&lt;=-0.5,10,IF(G45&lt;=0,8,IF(G45&lt;=0.5,6,IF(G45&lt;=1,4,2)))))</f>
        <v/>
      </c>
      <c r="J45">
        <f>'Workout Log'!G45</f>
        <v/>
      </c>
      <c r="K45">
        <f>IF(J45="","",IF(J45&lt;=MaxHR*0.6,"Z1",IF(J45&lt;=MaxHR*0.7,"Z2",IF(J45&lt;=MaxHR*0.8,"Z3",IF(J45&lt;=MaxHR*0.9,"Z4","Z5")))))</f>
        <v/>
      </c>
      <c r="L45" s="5">
        <f>IF(AND(F45&lt;&gt;"",J45&lt;&gt;""),ROUND(F45/(J45/100),2),"")</f>
        <v/>
      </c>
      <c r="M45">
        <f>IF(AND('Workout Log'!G45&lt;&gt;"",'Workout Log'!H45&lt;&gt;""),'Workout Log'!H45-'Workout Log'!G45,"")</f>
        <v/>
      </c>
      <c r="N45">
        <f>IF(AND(E45&lt;&gt;"",J45&lt;&gt;""),ROUND((E45*(J45-RestingHR)/(MaxHR-RestingHR))*10,1),"")</f>
        <v/>
      </c>
      <c r="O45">
        <f>IF(AND('Workout Log'!I45&lt;&gt;"",E45&lt;&gt;""),ROUND('Workout Log'!I45*(E45/30),1),"")</f>
        <v/>
      </c>
      <c r="P45">
        <f>IF(O45="","",IF(O45&gt;=8,"High",IF(O45&gt;=5,"Medium","Low")))</f>
        <v/>
      </c>
      <c r="Q45" s="9">
        <f>SUMIFS(D:D,B:B,B45)</f>
        <v/>
      </c>
      <c r="R45" s="9">
        <f>SUM(D$4:D45)</f>
        <v/>
      </c>
    </row>
    <row r="46">
      <c r="A46">
        <f>'Workout Log'!A46</f>
        <v/>
      </c>
      <c r="B46">
        <f>'Workout Log'!B46</f>
        <v/>
      </c>
      <c r="C46">
        <f>'Workout Log'!D46</f>
        <v/>
      </c>
      <c r="D46">
        <f>'Workout Log'!E46</f>
        <v/>
      </c>
      <c r="E46">
        <f>'Workout Log'!F46</f>
        <v/>
      </c>
      <c r="F46" s="5">
        <f>IF(AND(D46&lt;&gt;"",D46&gt;0,E46&lt;&gt;""),E46/D46,"")</f>
        <v/>
      </c>
      <c r="G46" s="8">
        <f>IF(F46&lt;&gt;"",F46-TargetPace,"")</f>
        <v/>
      </c>
      <c r="H46">
        <f>IF(F46="","",IF(F46&lt;=IntervalPace,"Sprint",IF(F46&lt;=TempoPace,"Tempo",IF(F46&lt;=EasyPace,"Easy","Recovery"))))</f>
        <v/>
      </c>
      <c r="I46">
        <f>IF(G46="","",IF(G46&lt;=-0.5,10,IF(G46&lt;=0,8,IF(G46&lt;=0.5,6,IF(G46&lt;=1,4,2)))))</f>
        <v/>
      </c>
      <c r="J46">
        <f>'Workout Log'!G46</f>
        <v/>
      </c>
      <c r="K46">
        <f>IF(J46="","",IF(J46&lt;=MaxHR*0.6,"Z1",IF(J46&lt;=MaxHR*0.7,"Z2",IF(J46&lt;=MaxHR*0.8,"Z3",IF(J46&lt;=MaxHR*0.9,"Z4","Z5")))))</f>
        <v/>
      </c>
      <c r="L46" s="5">
        <f>IF(AND(F46&lt;&gt;"",J46&lt;&gt;""),ROUND(F46/(J46/100),2),"")</f>
        <v/>
      </c>
      <c r="M46">
        <f>IF(AND('Workout Log'!G46&lt;&gt;"",'Workout Log'!H46&lt;&gt;""),'Workout Log'!H46-'Workout Log'!G46,"")</f>
        <v/>
      </c>
      <c r="N46">
        <f>IF(AND(E46&lt;&gt;"",J46&lt;&gt;""),ROUND((E46*(J46-RestingHR)/(MaxHR-RestingHR))*10,1),"")</f>
        <v/>
      </c>
      <c r="O46">
        <f>IF(AND('Workout Log'!I46&lt;&gt;"",E46&lt;&gt;""),ROUND('Workout Log'!I46*(E46/30),1),"")</f>
        <v/>
      </c>
      <c r="P46">
        <f>IF(O46="","",IF(O46&gt;=8,"High",IF(O46&gt;=5,"Medium","Low")))</f>
        <v/>
      </c>
      <c r="Q46" s="9">
        <f>SUMIFS(D:D,B:B,B46)</f>
        <v/>
      </c>
      <c r="R46" s="9">
        <f>SUM(D$4:D46)</f>
        <v/>
      </c>
    </row>
    <row r="47">
      <c r="A47">
        <f>'Workout Log'!A47</f>
        <v/>
      </c>
      <c r="B47">
        <f>'Workout Log'!B47</f>
        <v/>
      </c>
      <c r="C47">
        <f>'Workout Log'!D47</f>
        <v/>
      </c>
      <c r="D47">
        <f>'Workout Log'!E47</f>
        <v/>
      </c>
      <c r="E47">
        <f>'Workout Log'!F47</f>
        <v/>
      </c>
      <c r="F47" s="5">
        <f>IF(AND(D47&lt;&gt;"",D47&gt;0,E47&lt;&gt;""),E47/D47,"")</f>
        <v/>
      </c>
      <c r="G47" s="8">
        <f>IF(F47&lt;&gt;"",F47-TargetPace,"")</f>
        <v/>
      </c>
      <c r="H47">
        <f>IF(F47="","",IF(F47&lt;=IntervalPace,"Sprint",IF(F47&lt;=TempoPace,"Tempo",IF(F47&lt;=EasyPace,"Easy","Recovery"))))</f>
        <v/>
      </c>
      <c r="I47">
        <f>IF(G47="","",IF(G47&lt;=-0.5,10,IF(G47&lt;=0,8,IF(G47&lt;=0.5,6,IF(G47&lt;=1,4,2)))))</f>
        <v/>
      </c>
      <c r="J47">
        <f>'Workout Log'!G47</f>
        <v/>
      </c>
      <c r="K47">
        <f>IF(J47="","",IF(J47&lt;=MaxHR*0.6,"Z1",IF(J47&lt;=MaxHR*0.7,"Z2",IF(J47&lt;=MaxHR*0.8,"Z3",IF(J47&lt;=MaxHR*0.9,"Z4","Z5")))))</f>
        <v/>
      </c>
      <c r="L47" s="5">
        <f>IF(AND(F47&lt;&gt;"",J47&lt;&gt;""),ROUND(F47/(J47/100),2),"")</f>
        <v/>
      </c>
      <c r="M47">
        <f>IF(AND('Workout Log'!G47&lt;&gt;"",'Workout Log'!H47&lt;&gt;""),'Workout Log'!H47-'Workout Log'!G47,"")</f>
        <v/>
      </c>
      <c r="N47">
        <f>IF(AND(E47&lt;&gt;"",J47&lt;&gt;""),ROUND((E47*(J47-RestingHR)/(MaxHR-RestingHR))*10,1),"")</f>
        <v/>
      </c>
      <c r="O47">
        <f>IF(AND('Workout Log'!I47&lt;&gt;"",E47&lt;&gt;""),ROUND('Workout Log'!I47*(E47/30),1),"")</f>
        <v/>
      </c>
      <c r="P47">
        <f>IF(O47="","",IF(O47&gt;=8,"High",IF(O47&gt;=5,"Medium","Low")))</f>
        <v/>
      </c>
      <c r="Q47" s="9">
        <f>SUMIFS(D:D,B:B,B47)</f>
        <v/>
      </c>
      <c r="R47" s="9">
        <f>SUM(D$4:D47)</f>
        <v/>
      </c>
    </row>
    <row r="48">
      <c r="A48">
        <f>'Workout Log'!A48</f>
        <v/>
      </c>
      <c r="B48">
        <f>'Workout Log'!B48</f>
        <v/>
      </c>
      <c r="C48">
        <f>'Workout Log'!D48</f>
        <v/>
      </c>
      <c r="D48">
        <f>'Workout Log'!E48</f>
        <v/>
      </c>
      <c r="E48">
        <f>'Workout Log'!F48</f>
        <v/>
      </c>
      <c r="F48" s="5">
        <f>IF(AND(D48&lt;&gt;"",D48&gt;0,E48&lt;&gt;""),E48/D48,"")</f>
        <v/>
      </c>
      <c r="G48" s="8">
        <f>IF(F48&lt;&gt;"",F48-TargetPace,"")</f>
        <v/>
      </c>
      <c r="H48">
        <f>IF(F48="","",IF(F48&lt;=IntervalPace,"Sprint",IF(F48&lt;=TempoPace,"Tempo",IF(F48&lt;=EasyPace,"Easy","Recovery"))))</f>
        <v/>
      </c>
      <c r="I48">
        <f>IF(G48="","",IF(G48&lt;=-0.5,10,IF(G48&lt;=0,8,IF(G48&lt;=0.5,6,IF(G48&lt;=1,4,2)))))</f>
        <v/>
      </c>
      <c r="J48">
        <f>'Workout Log'!G48</f>
        <v/>
      </c>
      <c r="K48">
        <f>IF(J48="","",IF(J48&lt;=MaxHR*0.6,"Z1",IF(J48&lt;=MaxHR*0.7,"Z2",IF(J48&lt;=MaxHR*0.8,"Z3",IF(J48&lt;=MaxHR*0.9,"Z4","Z5")))))</f>
        <v/>
      </c>
      <c r="L48" s="5">
        <f>IF(AND(F48&lt;&gt;"",J48&lt;&gt;""),ROUND(F48/(J48/100),2),"")</f>
        <v/>
      </c>
      <c r="M48">
        <f>IF(AND('Workout Log'!G48&lt;&gt;"",'Workout Log'!H48&lt;&gt;""),'Workout Log'!H48-'Workout Log'!G48,"")</f>
        <v/>
      </c>
      <c r="N48">
        <f>IF(AND(E48&lt;&gt;"",J48&lt;&gt;""),ROUND((E48*(J48-RestingHR)/(MaxHR-RestingHR))*10,1),"")</f>
        <v/>
      </c>
      <c r="O48">
        <f>IF(AND('Workout Log'!I48&lt;&gt;"",E48&lt;&gt;""),ROUND('Workout Log'!I48*(E48/30),1),"")</f>
        <v/>
      </c>
      <c r="P48">
        <f>IF(O48="","",IF(O48&gt;=8,"High",IF(O48&gt;=5,"Medium","Low")))</f>
        <v/>
      </c>
      <c r="Q48" s="9">
        <f>SUMIFS(D:D,B:B,B48)</f>
        <v/>
      </c>
      <c r="R48" s="9">
        <f>SUM(D$4:D48)</f>
        <v/>
      </c>
    </row>
    <row r="49">
      <c r="A49">
        <f>'Workout Log'!A49</f>
        <v/>
      </c>
      <c r="B49">
        <f>'Workout Log'!B49</f>
        <v/>
      </c>
      <c r="C49">
        <f>'Workout Log'!D49</f>
        <v/>
      </c>
      <c r="D49">
        <f>'Workout Log'!E49</f>
        <v/>
      </c>
      <c r="E49">
        <f>'Workout Log'!F49</f>
        <v/>
      </c>
      <c r="F49" s="5">
        <f>IF(AND(D49&lt;&gt;"",D49&gt;0,E49&lt;&gt;""),E49/D49,"")</f>
        <v/>
      </c>
      <c r="G49" s="8">
        <f>IF(F49&lt;&gt;"",F49-TargetPace,"")</f>
        <v/>
      </c>
      <c r="H49">
        <f>IF(F49="","",IF(F49&lt;=IntervalPace,"Sprint",IF(F49&lt;=TempoPace,"Tempo",IF(F49&lt;=EasyPace,"Easy","Recovery"))))</f>
        <v/>
      </c>
      <c r="I49">
        <f>IF(G49="","",IF(G49&lt;=-0.5,10,IF(G49&lt;=0,8,IF(G49&lt;=0.5,6,IF(G49&lt;=1,4,2)))))</f>
        <v/>
      </c>
      <c r="J49">
        <f>'Workout Log'!G49</f>
        <v/>
      </c>
      <c r="K49">
        <f>IF(J49="","",IF(J49&lt;=MaxHR*0.6,"Z1",IF(J49&lt;=MaxHR*0.7,"Z2",IF(J49&lt;=MaxHR*0.8,"Z3",IF(J49&lt;=MaxHR*0.9,"Z4","Z5")))))</f>
        <v/>
      </c>
      <c r="L49" s="5">
        <f>IF(AND(F49&lt;&gt;"",J49&lt;&gt;""),ROUND(F49/(J49/100),2),"")</f>
        <v/>
      </c>
      <c r="M49">
        <f>IF(AND('Workout Log'!G49&lt;&gt;"",'Workout Log'!H49&lt;&gt;""),'Workout Log'!H49-'Workout Log'!G49,"")</f>
        <v/>
      </c>
      <c r="N49">
        <f>IF(AND(E49&lt;&gt;"",J49&lt;&gt;""),ROUND((E49*(J49-RestingHR)/(MaxHR-RestingHR))*10,1),"")</f>
        <v/>
      </c>
      <c r="O49">
        <f>IF(AND('Workout Log'!I49&lt;&gt;"",E49&lt;&gt;""),ROUND('Workout Log'!I49*(E49/30),1),"")</f>
        <v/>
      </c>
      <c r="P49">
        <f>IF(O49="","",IF(O49&gt;=8,"High",IF(O49&gt;=5,"Medium","Low")))</f>
        <v/>
      </c>
      <c r="Q49" s="9">
        <f>SUMIFS(D:D,B:B,B49)</f>
        <v/>
      </c>
      <c r="R49" s="9">
        <f>SUM(D$4:D49)</f>
        <v/>
      </c>
    </row>
    <row r="50">
      <c r="A50">
        <f>'Workout Log'!A50</f>
        <v/>
      </c>
      <c r="B50">
        <f>'Workout Log'!B50</f>
        <v/>
      </c>
      <c r="C50">
        <f>'Workout Log'!D50</f>
        <v/>
      </c>
      <c r="D50">
        <f>'Workout Log'!E50</f>
        <v/>
      </c>
      <c r="E50">
        <f>'Workout Log'!F50</f>
        <v/>
      </c>
      <c r="F50" s="5">
        <f>IF(AND(D50&lt;&gt;"",D50&gt;0,E50&lt;&gt;""),E50/D50,"")</f>
        <v/>
      </c>
      <c r="G50" s="8">
        <f>IF(F50&lt;&gt;"",F50-TargetPace,"")</f>
        <v/>
      </c>
      <c r="H50">
        <f>IF(F50="","",IF(F50&lt;=IntervalPace,"Sprint",IF(F50&lt;=TempoPace,"Tempo",IF(F50&lt;=EasyPace,"Easy","Recovery"))))</f>
        <v/>
      </c>
      <c r="I50">
        <f>IF(G50="","",IF(G50&lt;=-0.5,10,IF(G50&lt;=0,8,IF(G50&lt;=0.5,6,IF(G50&lt;=1,4,2)))))</f>
        <v/>
      </c>
      <c r="J50">
        <f>'Workout Log'!G50</f>
        <v/>
      </c>
      <c r="K50">
        <f>IF(J50="","",IF(J50&lt;=MaxHR*0.6,"Z1",IF(J50&lt;=MaxHR*0.7,"Z2",IF(J50&lt;=MaxHR*0.8,"Z3",IF(J50&lt;=MaxHR*0.9,"Z4","Z5")))))</f>
        <v/>
      </c>
      <c r="L50" s="5">
        <f>IF(AND(F50&lt;&gt;"",J50&lt;&gt;""),ROUND(F50/(J50/100),2),"")</f>
        <v/>
      </c>
      <c r="M50">
        <f>IF(AND('Workout Log'!G50&lt;&gt;"",'Workout Log'!H50&lt;&gt;""),'Workout Log'!H50-'Workout Log'!G50,"")</f>
        <v/>
      </c>
      <c r="N50">
        <f>IF(AND(E50&lt;&gt;"",J50&lt;&gt;""),ROUND((E50*(J50-RestingHR)/(MaxHR-RestingHR))*10,1),"")</f>
        <v/>
      </c>
      <c r="O50">
        <f>IF(AND('Workout Log'!I50&lt;&gt;"",E50&lt;&gt;""),ROUND('Workout Log'!I50*(E50/30),1),"")</f>
        <v/>
      </c>
      <c r="P50">
        <f>IF(O50="","",IF(O50&gt;=8,"High",IF(O50&gt;=5,"Medium","Low")))</f>
        <v/>
      </c>
      <c r="Q50" s="9">
        <f>SUMIFS(D:D,B:B,B50)</f>
        <v/>
      </c>
      <c r="R50" s="9">
        <f>SUM(D$4:D50)</f>
        <v/>
      </c>
    </row>
    <row r="51">
      <c r="A51">
        <f>'Workout Log'!A51</f>
        <v/>
      </c>
      <c r="B51">
        <f>'Workout Log'!B51</f>
        <v/>
      </c>
      <c r="C51">
        <f>'Workout Log'!D51</f>
        <v/>
      </c>
      <c r="D51">
        <f>'Workout Log'!E51</f>
        <v/>
      </c>
      <c r="E51">
        <f>'Workout Log'!F51</f>
        <v/>
      </c>
      <c r="F51" s="5">
        <f>IF(AND(D51&lt;&gt;"",D51&gt;0,E51&lt;&gt;""),E51/D51,"")</f>
        <v/>
      </c>
      <c r="G51" s="8">
        <f>IF(F51&lt;&gt;"",F51-TargetPace,"")</f>
        <v/>
      </c>
      <c r="H51">
        <f>IF(F51="","",IF(F51&lt;=IntervalPace,"Sprint",IF(F51&lt;=TempoPace,"Tempo",IF(F51&lt;=EasyPace,"Easy","Recovery"))))</f>
        <v/>
      </c>
      <c r="I51">
        <f>IF(G51="","",IF(G51&lt;=-0.5,10,IF(G51&lt;=0,8,IF(G51&lt;=0.5,6,IF(G51&lt;=1,4,2)))))</f>
        <v/>
      </c>
      <c r="J51">
        <f>'Workout Log'!G51</f>
        <v/>
      </c>
      <c r="K51">
        <f>IF(J51="","",IF(J51&lt;=MaxHR*0.6,"Z1",IF(J51&lt;=MaxHR*0.7,"Z2",IF(J51&lt;=MaxHR*0.8,"Z3",IF(J51&lt;=MaxHR*0.9,"Z4","Z5")))))</f>
        <v/>
      </c>
      <c r="L51" s="5">
        <f>IF(AND(F51&lt;&gt;"",J51&lt;&gt;""),ROUND(F51/(J51/100),2),"")</f>
        <v/>
      </c>
      <c r="M51">
        <f>IF(AND('Workout Log'!G51&lt;&gt;"",'Workout Log'!H51&lt;&gt;""),'Workout Log'!H51-'Workout Log'!G51,"")</f>
        <v/>
      </c>
      <c r="N51">
        <f>IF(AND(E51&lt;&gt;"",J51&lt;&gt;""),ROUND((E51*(J51-RestingHR)/(MaxHR-RestingHR))*10,1),"")</f>
        <v/>
      </c>
      <c r="O51">
        <f>IF(AND('Workout Log'!I51&lt;&gt;"",E51&lt;&gt;""),ROUND('Workout Log'!I51*(E51/30),1),"")</f>
        <v/>
      </c>
      <c r="P51">
        <f>IF(O51="","",IF(O51&gt;=8,"High",IF(O51&gt;=5,"Medium","Low")))</f>
        <v/>
      </c>
      <c r="Q51" s="9">
        <f>SUMIFS(D:D,B:B,B51)</f>
        <v/>
      </c>
      <c r="R51" s="9">
        <f>SUM(D$4:D51)</f>
        <v/>
      </c>
    </row>
    <row r="52">
      <c r="A52">
        <f>'Workout Log'!A52</f>
        <v/>
      </c>
      <c r="B52">
        <f>'Workout Log'!B52</f>
        <v/>
      </c>
      <c r="C52">
        <f>'Workout Log'!D52</f>
        <v/>
      </c>
      <c r="D52">
        <f>'Workout Log'!E52</f>
        <v/>
      </c>
      <c r="E52">
        <f>'Workout Log'!F52</f>
        <v/>
      </c>
      <c r="F52" s="5">
        <f>IF(AND(D52&lt;&gt;"",D52&gt;0,E52&lt;&gt;""),E52/D52,"")</f>
        <v/>
      </c>
      <c r="G52" s="8">
        <f>IF(F52&lt;&gt;"",F52-TargetPace,"")</f>
        <v/>
      </c>
      <c r="H52">
        <f>IF(F52="","",IF(F52&lt;=IntervalPace,"Sprint",IF(F52&lt;=TempoPace,"Tempo",IF(F52&lt;=EasyPace,"Easy","Recovery"))))</f>
        <v/>
      </c>
      <c r="I52">
        <f>IF(G52="","",IF(G52&lt;=-0.5,10,IF(G52&lt;=0,8,IF(G52&lt;=0.5,6,IF(G52&lt;=1,4,2)))))</f>
        <v/>
      </c>
      <c r="J52">
        <f>'Workout Log'!G52</f>
        <v/>
      </c>
      <c r="K52">
        <f>IF(J52="","",IF(J52&lt;=MaxHR*0.6,"Z1",IF(J52&lt;=MaxHR*0.7,"Z2",IF(J52&lt;=MaxHR*0.8,"Z3",IF(J52&lt;=MaxHR*0.9,"Z4","Z5")))))</f>
        <v/>
      </c>
      <c r="L52" s="5">
        <f>IF(AND(F52&lt;&gt;"",J52&lt;&gt;""),ROUND(F52/(J52/100),2),"")</f>
        <v/>
      </c>
      <c r="M52">
        <f>IF(AND('Workout Log'!G52&lt;&gt;"",'Workout Log'!H52&lt;&gt;""),'Workout Log'!H52-'Workout Log'!G52,"")</f>
        <v/>
      </c>
      <c r="N52">
        <f>IF(AND(E52&lt;&gt;"",J52&lt;&gt;""),ROUND((E52*(J52-RestingHR)/(MaxHR-RestingHR))*10,1),"")</f>
        <v/>
      </c>
      <c r="O52">
        <f>IF(AND('Workout Log'!I52&lt;&gt;"",E52&lt;&gt;""),ROUND('Workout Log'!I52*(E52/30),1),"")</f>
        <v/>
      </c>
      <c r="P52">
        <f>IF(O52="","",IF(O52&gt;=8,"High",IF(O52&gt;=5,"Medium","Low")))</f>
        <v/>
      </c>
      <c r="Q52" s="9">
        <f>SUMIFS(D:D,B:B,B52)</f>
        <v/>
      </c>
      <c r="R52" s="9">
        <f>SUM(D$4:D52)</f>
        <v/>
      </c>
    </row>
    <row r="53">
      <c r="A53">
        <f>'Workout Log'!A53</f>
        <v/>
      </c>
      <c r="B53">
        <f>'Workout Log'!B53</f>
        <v/>
      </c>
      <c r="C53">
        <f>'Workout Log'!D53</f>
        <v/>
      </c>
      <c r="D53">
        <f>'Workout Log'!E53</f>
        <v/>
      </c>
      <c r="E53">
        <f>'Workout Log'!F53</f>
        <v/>
      </c>
      <c r="F53" s="5">
        <f>IF(AND(D53&lt;&gt;"",D53&gt;0,E53&lt;&gt;""),E53/D53,"")</f>
        <v/>
      </c>
      <c r="G53" s="8">
        <f>IF(F53&lt;&gt;"",F53-TargetPace,"")</f>
        <v/>
      </c>
      <c r="H53">
        <f>IF(F53="","",IF(F53&lt;=IntervalPace,"Sprint",IF(F53&lt;=TempoPace,"Tempo",IF(F53&lt;=EasyPace,"Easy","Recovery"))))</f>
        <v/>
      </c>
      <c r="I53">
        <f>IF(G53="","",IF(G53&lt;=-0.5,10,IF(G53&lt;=0,8,IF(G53&lt;=0.5,6,IF(G53&lt;=1,4,2)))))</f>
        <v/>
      </c>
      <c r="J53">
        <f>'Workout Log'!G53</f>
        <v/>
      </c>
      <c r="K53">
        <f>IF(J53="","",IF(J53&lt;=MaxHR*0.6,"Z1",IF(J53&lt;=MaxHR*0.7,"Z2",IF(J53&lt;=MaxHR*0.8,"Z3",IF(J53&lt;=MaxHR*0.9,"Z4","Z5")))))</f>
        <v/>
      </c>
      <c r="L53" s="5">
        <f>IF(AND(F53&lt;&gt;"",J53&lt;&gt;""),ROUND(F53/(J53/100),2),"")</f>
        <v/>
      </c>
      <c r="M53">
        <f>IF(AND('Workout Log'!G53&lt;&gt;"",'Workout Log'!H53&lt;&gt;""),'Workout Log'!H53-'Workout Log'!G53,"")</f>
        <v/>
      </c>
      <c r="N53">
        <f>IF(AND(E53&lt;&gt;"",J53&lt;&gt;""),ROUND((E53*(J53-RestingHR)/(MaxHR-RestingHR))*10,1),"")</f>
        <v/>
      </c>
      <c r="O53">
        <f>IF(AND('Workout Log'!I53&lt;&gt;"",E53&lt;&gt;""),ROUND('Workout Log'!I53*(E53/30),1),"")</f>
        <v/>
      </c>
      <c r="P53">
        <f>IF(O53="","",IF(O53&gt;=8,"High",IF(O53&gt;=5,"Medium","Low")))</f>
        <v/>
      </c>
      <c r="Q53" s="9">
        <f>SUMIFS(D:D,B:B,B53)</f>
        <v/>
      </c>
      <c r="R53" s="9">
        <f>SUM(D$4:D53)</f>
        <v/>
      </c>
    </row>
    <row r="54">
      <c r="A54">
        <f>'Workout Log'!A54</f>
        <v/>
      </c>
      <c r="B54">
        <f>'Workout Log'!B54</f>
        <v/>
      </c>
      <c r="C54">
        <f>'Workout Log'!D54</f>
        <v/>
      </c>
      <c r="D54">
        <f>'Workout Log'!E54</f>
        <v/>
      </c>
      <c r="E54">
        <f>'Workout Log'!F54</f>
        <v/>
      </c>
      <c r="F54" s="5">
        <f>IF(AND(D54&lt;&gt;"",D54&gt;0,E54&lt;&gt;""),E54/D54,"")</f>
        <v/>
      </c>
      <c r="G54" s="8">
        <f>IF(F54&lt;&gt;"",F54-TargetPace,"")</f>
        <v/>
      </c>
      <c r="H54">
        <f>IF(F54="","",IF(F54&lt;=IntervalPace,"Sprint",IF(F54&lt;=TempoPace,"Tempo",IF(F54&lt;=EasyPace,"Easy","Recovery"))))</f>
        <v/>
      </c>
      <c r="I54">
        <f>IF(G54="","",IF(G54&lt;=-0.5,10,IF(G54&lt;=0,8,IF(G54&lt;=0.5,6,IF(G54&lt;=1,4,2)))))</f>
        <v/>
      </c>
      <c r="J54">
        <f>'Workout Log'!G54</f>
        <v/>
      </c>
      <c r="K54">
        <f>IF(J54="","",IF(J54&lt;=MaxHR*0.6,"Z1",IF(J54&lt;=MaxHR*0.7,"Z2",IF(J54&lt;=MaxHR*0.8,"Z3",IF(J54&lt;=MaxHR*0.9,"Z4","Z5")))))</f>
        <v/>
      </c>
      <c r="L54" s="5">
        <f>IF(AND(F54&lt;&gt;"",J54&lt;&gt;""),ROUND(F54/(J54/100),2),"")</f>
        <v/>
      </c>
      <c r="M54">
        <f>IF(AND('Workout Log'!G54&lt;&gt;"",'Workout Log'!H54&lt;&gt;""),'Workout Log'!H54-'Workout Log'!G54,"")</f>
        <v/>
      </c>
      <c r="N54">
        <f>IF(AND(E54&lt;&gt;"",J54&lt;&gt;""),ROUND((E54*(J54-RestingHR)/(MaxHR-RestingHR))*10,1),"")</f>
        <v/>
      </c>
      <c r="O54">
        <f>IF(AND('Workout Log'!I54&lt;&gt;"",E54&lt;&gt;""),ROUND('Workout Log'!I54*(E54/30),1),"")</f>
        <v/>
      </c>
      <c r="P54">
        <f>IF(O54="","",IF(O54&gt;=8,"High",IF(O54&gt;=5,"Medium","Low")))</f>
        <v/>
      </c>
      <c r="Q54" s="9">
        <f>SUMIFS(D:D,B:B,B54)</f>
        <v/>
      </c>
      <c r="R54" s="9">
        <f>SUM(D$4:D54)</f>
        <v/>
      </c>
    </row>
    <row r="55">
      <c r="A55">
        <f>'Workout Log'!A55</f>
        <v/>
      </c>
      <c r="B55">
        <f>'Workout Log'!B55</f>
        <v/>
      </c>
      <c r="C55">
        <f>'Workout Log'!D55</f>
        <v/>
      </c>
      <c r="D55">
        <f>'Workout Log'!E55</f>
        <v/>
      </c>
      <c r="E55">
        <f>'Workout Log'!F55</f>
        <v/>
      </c>
      <c r="F55" s="5">
        <f>IF(AND(D55&lt;&gt;"",D55&gt;0,E55&lt;&gt;""),E55/D55,"")</f>
        <v/>
      </c>
      <c r="G55" s="8">
        <f>IF(F55&lt;&gt;"",F55-TargetPace,"")</f>
        <v/>
      </c>
      <c r="H55">
        <f>IF(F55="","",IF(F55&lt;=IntervalPace,"Sprint",IF(F55&lt;=TempoPace,"Tempo",IF(F55&lt;=EasyPace,"Easy","Recovery"))))</f>
        <v/>
      </c>
      <c r="I55">
        <f>IF(G55="","",IF(G55&lt;=-0.5,10,IF(G55&lt;=0,8,IF(G55&lt;=0.5,6,IF(G55&lt;=1,4,2)))))</f>
        <v/>
      </c>
      <c r="J55">
        <f>'Workout Log'!G55</f>
        <v/>
      </c>
      <c r="K55">
        <f>IF(J55="","",IF(J55&lt;=MaxHR*0.6,"Z1",IF(J55&lt;=MaxHR*0.7,"Z2",IF(J55&lt;=MaxHR*0.8,"Z3",IF(J55&lt;=MaxHR*0.9,"Z4","Z5")))))</f>
        <v/>
      </c>
      <c r="L55" s="5">
        <f>IF(AND(F55&lt;&gt;"",J55&lt;&gt;""),ROUND(F55/(J55/100),2),"")</f>
        <v/>
      </c>
      <c r="M55">
        <f>IF(AND('Workout Log'!G55&lt;&gt;"",'Workout Log'!H55&lt;&gt;""),'Workout Log'!H55-'Workout Log'!G55,"")</f>
        <v/>
      </c>
      <c r="N55">
        <f>IF(AND(E55&lt;&gt;"",J55&lt;&gt;""),ROUND((E55*(J55-RestingHR)/(MaxHR-RestingHR))*10,1),"")</f>
        <v/>
      </c>
      <c r="O55">
        <f>IF(AND('Workout Log'!I55&lt;&gt;"",E55&lt;&gt;""),ROUND('Workout Log'!I55*(E55/30),1),"")</f>
        <v/>
      </c>
      <c r="P55">
        <f>IF(O55="","",IF(O55&gt;=8,"High",IF(O55&gt;=5,"Medium","Low")))</f>
        <v/>
      </c>
      <c r="Q55" s="9">
        <f>SUMIFS(D:D,B:B,B55)</f>
        <v/>
      </c>
      <c r="R55" s="9">
        <f>SUM(D$4:D55)</f>
        <v/>
      </c>
    </row>
    <row r="56">
      <c r="A56">
        <f>'Workout Log'!A56</f>
        <v/>
      </c>
      <c r="B56">
        <f>'Workout Log'!B56</f>
        <v/>
      </c>
      <c r="C56">
        <f>'Workout Log'!D56</f>
        <v/>
      </c>
      <c r="D56">
        <f>'Workout Log'!E56</f>
        <v/>
      </c>
      <c r="E56">
        <f>'Workout Log'!F56</f>
        <v/>
      </c>
      <c r="F56" s="5">
        <f>IF(AND(D56&lt;&gt;"",D56&gt;0,E56&lt;&gt;""),E56/D56,"")</f>
        <v/>
      </c>
      <c r="G56" s="8">
        <f>IF(F56&lt;&gt;"",F56-TargetPace,"")</f>
        <v/>
      </c>
      <c r="H56">
        <f>IF(F56="","",IF(F56&lt;=IntervalPace,"Sprint",IF(F56&lt;=TempoPace,"Tempo",IF(F56&lt;=EasyPace,"Easy","Recovery"))))</f>
        <v/>
      </c>
      <c r="I56">
        <f>IF(G56="","",IF(G56&lt;=-0.5,10,IF(G56&lt;=0,8,IF(G56&lt;=0.5,6,IF(G56&lt;=1,4,2)))))</f>
        <v/>
      </c>
      <c r="J56">
        <f>'Workout Log'!G56</f>
        <v/>
      </c>
      <c r="K56">
        <f>IF(J56="","",IF(J56&lt;=MaxHR*0.6,"Z1",IF(J56&lt;=MaxHR*0.7,"Z2",IF(J56&lt;=MaxHR*0.8,"Z3",IF(J56&lt;=MaxHR*0.9,"Z4","Z5")))))</f>
        <v/>
      </c>
      <c r="L56" s="5">
        <f>IF(AND(F56&lt;&gt;"",J56&lt;&gt;""),ROUND(F56/(J56/100),2),"")</f>
        <v/>
      </c>
      <c r="M56">
        <f>IF(AND('Workout Log'!G56&lt;&gt;"",'Workout Log'!H56&lt;&gt;""),'Workout Log'!H56-'Workout Log'!G56,"")</f>
        <v/>
      </c>
      <c r="N56">
        <f>IF(AND(E56&lt;&gt;"",J56&lt;&gt;""),ROUND((E56*(J56-RestingHR)/(MaxHR-RestingHR))*10,1),"")</f>
        <v/>
      </c>
      <c r="O56">
        <f>IF(AND('Workout Log'!I56&lt;&gt;"",E56&lt;&gt;""),ROUND('Workout Log'!I56*(E56/30),1),"")</f>
        <v/>
      </c>
      <c r="P56">
        <f>IF(O56="","",IF(O56&gt;=8,"High",IF(O56&gt;=5,"Medium","Low")))</f>
        <v/>
      </c>
      <c r="Q56" s="9">
        <f>SUMIFS(D:D,B:B,B56)</f>
        <v/>
      </c>
      <c r="R56" s="9">
        <f>SUM(D$4:D56)</f>
        <v/>
      </c>
    </row>
    <row r="57">
      <c r="A57">
        <f>'Workout Log'!A57</f>
        <v/>
      </c>
      <c r="B57">
        <f>'Workout Log'!B57</f>
        <v/>
      </c>
      <c r="C57">
        <f>'Workout Log'!D57</f>
        <v/>
      </c>
      <c r="D57">
        <f>'Workout Log'!E57</f>
        <v/>
      </c>
      <c r="E57">
        <f>'Workout Log'!F57</f>
        <v/>
      </c>
      <c r="F57" s="5">
        <f>IF(AND(D57&lt;&gt;"",D57&gt;0,E57&lt;&gt;""),E57/D57,"")</f>
        <v/>
      </c>
      <c r="G57" s="8">
        <f>IF(F57&lt;&gt;"",F57-TargetPace,"")</f>
        <v/>
      </c>
      <c r="H57">
        <f>IF(F57="","",IF(F57&lt;=IntervalPace,"Sprint",IF(F57&lt;=TempoPace,"Tempo",IF(F57&lt;=EasyPace,"Easy","Recovery"))))</f>
        <v/>
      </c>
      <c r="I57">
        <f>IF(G57="","",IF(G57&lt;=-0.5,10,IF(G57&lt;=0,8,IF(G57&lt;=0.5,6,IF(G57&lt;=1,4,2)))))</f>
        <v/>
      </c>
      <c r="J57">
        <f>'Workout Log'!G57</f>
        <v/>
      </c>
      <c r="K57">
        <f>IF(J57="","",IF(J57&lt;=MaxHR*0.6,"Z1",IF(J57&lt;=MaxHR*0.7,"Z2",IF(J57&lt;=MaxHR*0.8,"Z3",IF(J57&lt;=MaxHR*0.9,"Z4","Z5")))))</f>
        <v/>
      </c>
      <c r="L57" s="5">
        <f>IF(AND(F57&lt;&gt;"",J57&lt;&gt;""),ROUND(F57/(J57/100),2),"")</f>
        <v/>
      </c>
      <c r="M57">
        <f>IF(AND('Workout Log'!G57&lt;&gt;"",'Workout Log'!H57&lt;&gt;""),'Workout Log'!H57-'Workout Log'!G57,"")</f>
        <v/>
      </c>
      <c r="N57">
        <f>IF(AND(E57&lt;&gt;"",J57&lt;&gt;""),ROUND((E57*(J57-RestingHR)/(MaxHR-RestingHR))*10,1),"")</f>
        <v/>
      </c>
      <c r="O57">
        <f>IF(AND('Workout Log'!I57&lt;&gt;"",E57&lt;&gt;""),ROUND('Workout Log'!I57*(E57/30),1),"")</f>
        <v/>
      </c>
      <c r="P57">
        <f>IF(O57="","",IF(O57&gt;=8,"High",IF(O57&gt;=5,"Medium","Low")))</f>
        <v/>
      </c>
      <c r="Q57" s="9">
        <f>SUMIFS(D:D,B:B,B57)</f>
        <v/>
      </c>
      <c r="R57" s="9">
        <f>SUM(D$4:D57)</f>
        <v/>
      </c>
    </row>
    <row r="58">
      <c r="A58">
        <f>'Workout Log'!A58</f>
        <v/>
      </c>
      <c r="B58">
        <f>'Workout Log'!B58</f>
        <v/>
      </c>
      <c r="C58">
        <f>'Workout Log'!D58</f>
        <v/>
      </c>
      <c r="D58">
        <f>'Workout Log'!E58</f>
        <v/>
      </c>
      <c r="E58">
        <f>'Workout Log'!F58</f>
        <v/>
      </c>
      <c r="F58" s="5">
        <f>IF(AND(D58&lt;&gt;"",D58&gt;0,E58&lt;&gt;""),E58/D58,"")</f>
        <v/>
      </c>
      <c r="G58" s="8">
        <f>IF(F58&lt;&gt;"",F58-TargetPace,"")</f>
        <v/>
      </c>
      <c r="H58">
        <f>IF(F58="","",IF(F58&lt;=IntervalPace,"Sprint",IF(F58&lt;=TempoPace,"Tempo",IF(F58&lt;=EasyPace,"Easy","Recovery"))))</f>
        <v/>
      </c>
      <c r="I58">
        <f>IF(G58="","",IF(G58&lt;=-0.5,10,IF(G58&lt;=0,8,IF(G58&lt;=0.5,6,IF(G58&lt;=1,4,2)))))</f>
        <v/>
      </c>
      <c r="J58">
        <f>'Workout Log'!G58</f>
        <v/>
      </c>
      <c r="K58">
        <f>IF(J58="","",IF(J58&lt;=MaxHR*0.6,"Z1",IF(J58&lt;=MaxHR*0.7,"Z2",IF(J58&lt;=MaxHR*0.8,"Z3",IF(J58&lt;=MaxHR*0.9,"Z4","Z5")))))</f>
        <v/>
      </c>
      <c r="L58" s="5">
        <f>IF(AND(F58&lt;&gt;"",J58&lt;&gt;""),ROUND(F58/(J58/100),2),"")</f>
        <v/>
      </c>
      <c r="M58">
        <f>IF(AND('Workout Log'!G58&lt;&gt;"",'Workout Log'!H58&lt;&gt;""),'Workout Log'!H58-'Workout Log'!G58,"")</f>
        <v/>
      </c>
      <c r="N58">
        <f>IF(AND(E58&lt;&gt;"",J58&lt;&gt;""),ROUND((E58*(J58-RestingHR)/(MaxHR-RestingHR))*10,1),"")</f>
        <v/>
      </c>
      <c r="O58">
        <f>IF(AND('Workout Log'!I58&lt;&gt;"",E58&lt;&gt;""),ROUND('Workout Log'!I58*(E58/30),1),"")</f>
        <v/>
      </c>
      <c r="P58">
        <f>IF(O58="","",IF(O58&gt;=8,"High",IF(O58&gt;=5,"Medium","Low")))</f>
        <v/>
      </c>
      <c r="Q58" s="9">
        <f>SUMIFS(D:D,B:B,B58)</f>
        <v/>
      </c>
      <c r="R58" s="9">
        <f>SUM(D$4:D58)</f>
        <v/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6" customWidth="1" min="4" max="4"/>
    <col width="18" customWidth="1" min="5" max="5"/>
    <col width="12" customWidth="1" min="6" max="6"/>
    <col width="12" customWidth="1" min="7" max="7"/>
  </cols>
  <sheetData>
    <row r="1">
      <c r="A1" s="10" t="inlineStr">
        <is>
          <t>5K Training Dashboard - Progress &amp; Insights</t>
        </is>
      </c>
    </row>
    <row r="3">
      <c r="A3" s="11" t="inlineStr">
        <is>
          <t>TRAINING VOLUME</t>
        </is>
      </c>
      <c r="D3" s="11" t="inlineStr">
        <is>
          <t>RACE READINESS ASSESSMENT</t>
        </is>
      </c>
    </row>
    <row r="4">
      <c r="A4" t="inlineStr">
        <is>
          <t>Total Workouts</t>
        </is>
      </c>
      <c r="B4" s="12">
        <f>COUNTA(Analysis!C:C)-1</f>
        <v/>
      </c>
      <c r="D4" t="inlineStr">
        <is>
          <t>Overall Status</t>
        </is>
      </c>
      <c r="E4" s="13">
        <f>IF(B4=0,"Not Started",IF(AND(B17&lt;=0,B35&lt;0),"Race Ready",IF(B17&lt;=0.3,"On Track","Needs Work")))</f>
        <v/>
      </c>
    </row>
    <row r="5">
      <c r="A5" t="inlineStr">
        <is>
          <t>Total Running Workouts</t>
        </is>
      </c>
      <c r="B5" s="12">
        <f>COUNTIFS(Analysis!C:C,"&lt;&gt;",Analysis!C:C,"&lt;&gt;Cross-Train")-1</f>
        <v/>
      </c>
      <c r="D5" t="inlineStr">
        <is>
          <t>Pace Status</t>
        </is>
      </c>
      <c r="E5" s="13">
        <f>IF(B17&lt;=0,"Ahead of Target",IF(B17&lt;=0.5,"On Target","Behind Target"))</f>
        <v/>
      </c>
    </row>
    <row r="6">
      <c r="A6" t="inlineStr">
        <is>
          <t>Total Distance (km)</t>
        </is>
      </c>
      <c r="B6" s="14">
        <f>SUMIF(Analysis!D:D,"&gt;0")</f>
        <v/>
      </c>
      <c r="D6" t="inlineStr">
        <is>
          <t>Volume Status</t>
        </is>
      </c>
      <c r="E6" s="13">
        <f>IF(B6&gt;=Parameters!B11*Parameters!B12*0.8,"Good Volume","Need More Runs")</f>
        <v/>
      </c>
    </row>
    <row r="7">
      <c r="A7" t="inlineStr">
        <is>
          <t>Total Time (min)</t>
        </is>
      </c>
      <c r="B7" s="15">
        <f>SUMIF(Analysis!E:E,"&gt;0")</f>
        <v/>
      </c>
      <c r="D7" t="inlineStr">
        <is>
          <t>Fitness Trend</t>
        </is>
      </c>
      <c r="E7" s="13">
        <f>IF(B28&gt;0,"Improving",IF(B28&lt;0,"Declining","Stable"))</f>
        <v/>
      </c>
    </row>
    <row r="8">
      <c r="A8" t="inlineStr">
        <is>
          <t>Total Time (hrs)</t>
        </is>
      </c>
      <c r="B8" s="16">
        <f>B7/60</f>
        <v/>
      </c>
      <c r="D8" t="inlineStr">
        <is>
          <t>Training Load</t>
        </is>
      </c>
      <c r="E8" s="13">
        <f>IF(AVERAGEIF(Analysis!N:N,"&gt;0")&gt;50,"High",IF(AVERAGEIF(Analysis!N:N,"&gt;0")&gt;30,"Moderate","Low"))</f>
        <v/>
      </c>
    </row>
    <row r="9">
      <c r="A9" t="inlineStr">
        <is>
          <t>Avg Distance per Run (km)</t>
        </is>
      </c>
      <c r="B9" s="16">
        <f>B6/B5</f>
        <v/>
      </c>
      <c r="D9" t="inlineStr">
        <is>
          <t>Days to Race</t>
        </is>
      </c>
      <c r="E9" s="13">
        <f>Parameters!B8-TODAY()</f>
        <v/>
      </c>
    </row>
    <row r="10">
      <c r="A10" t="inlineStr">
        <is>
          <t>Avg Duration per Run (min)</t>
        </is>
      </c>
      <c r="B10" s="15">
        <f>B7/B4</f>
        <v/>
      </c>
      <c r="D10" t="inlineStr">
        <is>
          <t>Workouts Remaining</t>
        </is>
      </c>
      <c r="E10" s="13">
        <f>MAX(0,(Parameters!B11-B2/7)*Parameters!B12)</f>
        <v/>
      </c>
    </row>
    <row r="11">
      <c r="A11" t="inlineStr">
        <is>
          <t>Longest Run (km)</t>
        </is>
      </c>
      <c r="B11" s="16">
        <f>MAX(Analysis!D:D)</f>
        <v/>
      </c>
      <c r="D11" t="inlineStr">
        <is>
          <t>Predicted Race Time (min)</t>
        </is>
      </c>
      <c r="E11" s="17">
        <f>B16*5</f>
        <v/>
      </c>
    </row>
    <row r="12">
      <c r="A12" t="inlineStr">
        <is>
          <t>Total Calories Burned</t>
        </is>
      </c>
      <c r="B12" s="15">
        <f>SUM('Workout Log'!N:N)</f>
        <v/>
      </c>
      <c r="D12" t="inlineStr">
        <is>
          <t>vs Target Time</t>
        </is>
      </c>
      <c r="E12" s="17">
        <f>B16*5-TargetTime</f>
        <v/>
      </c>
    </row>
    <row r="13">
      <c r="D13" t="inlineStr">
        <is>
          <t>Confidence Level</t>
        </is>
      </c>
      <c r="E13" s="13">
        <f>IF(E12&lt;=0,"High",IF(E12&lt;=2,"Medium","Low"))</f>
        <v/>
      </c>
    </row>
    <row r="14">
      <c r="A14" s="11" t="inlineStr">
        <is>
          <t>PACE ANALYSIS</t>
        </is>
      </c>
    </row>
    <row r="15">
      <c r="A15" t="inlineStr">
        <is>
          <t>Target Race Pace (min/km)</t>
        </is>
      </c>
      <c r="B15" s="18">
        <f>TargetPace</f>
        <v/>
      </c>
    </row>
    <row r="16">
      <c r="A16" t="inlineStr">
        <is>
          <t>Current Avg Pace (min/km)</t>
        </is>
      </c>
      <c r="B16" s="18">
        <f>SUMIF(Analysis!E:E,"&gt;0")/SUMIF(Analysis!D:D,"&gt;0")</f>
        <v/>
      </c>
    </row>
    <row r="17">
      <c r="A17" t="inlineStr">
        <is>
          <t>Pace Gap (min/km)</t>
        </is>
      </c>
      <c r="B17" s="19">
        <f>B16-B15</f>
        <v/>
      </c>
    </row>
    <row r="18">
      <c r="A18" t="inlineStr">
        <is>
          <t>Best Pace Achieved (min/km)</t>
        </is>
      </c>
      <c r="B18" s="18">
        <f>MIN(IF(Analysis!F4:F100&lt;&gt;"",Analysis!F4:F100))</f>
        <v/>
      </c>
    </row>
    <row r="19">
      <c r="A19" t="inlineStr">
        <is>
          <t>Pace Improvement (%)</t>
        </is>
      </c>
      <c r="B19" s="14">
        <f>IFERROR((AVERAGE(Analysis!F4:F8)-AVERAGE(INDEX(Analysis!F:F,COUNTA(Analysis!A:A)-3):INDEX(Analysis!F:F,COUNTA(Analysis!A:A))))/AVERAGE(Analysis!F4:F8)*100,0)</f>
        <v/>
      </c>
    </row>
    <row r="20">
      <c r="A20" t="inlineStr">
        <is>
          <t>Avg Pace Score</t>
        </is>
      </c>
      <c r="B20" s="14">
        <f>AVERAGEIF(Analysis!I:I,"&gt;0")</f>
        <v/>
      </c>
    </row>
    <row r="21">
      <c r="A21" t="inlineStr">
        <is>
          <t>Tempo Runs Completed</t>
        </is>
      </c>
      <c r="B21" s="12">
        <f>COUNTIF(Analysis!H:H,"Tempo")</f>
        <v/>
      </c>
    </row>
    <row r="22">
      <c r="A22" t="inlineStr">
        <is>
          <t>Sprint Workouts</t>
        </is>
      </c>
      <c r="B22" s="12">
        <f>COUNTIF(Analysis!H:H,"Sprint")</f>
        <v/>
      </c>
    </row>
    <row r="24">
      <c r="A24" s="11" t="inlineStr">
        <is>
          <t>HEART RATE &amp; FITNESS</t>
        </is>
      </c>
    </row>
    <row r="25">
      <c r="A25" t="inlineStr">
        <is>
          <t>Avg Workout HR (bpm)</t>
        </is>
      </c>
      <c r="B25" s="15">
        <f>AVERAGEIF('Workout Log'!G:G,"&gt;0")</f>
        <v/>
      </c>
    </row>
    <row r="26">
      <c r="A26" t="inlineStr">
        <is>
          <t>Max HR Recorded (bpm)</t>
        </is>
      </c>
      <c r="B26" s="15">
        <f>MAX('Workout Log'!H:H)</f>
        <v/>
      </c>
    </row>
    <row r="27">
      <c r="A27" t="inlineStr">
        <is>
          <t>Avg Resting HR (bpm)</t>
        </is>
      </c>
      <c r="B27" s="15">
        <f>AVERAGEIF('Workout Log'!S:S,"&gt;0")</f>
        <v/>
      </c>
    </row>
    <row r="28">
      <c r="A28" t="inlineStr">
        <is>
          <t>Resting HR Improvement</t>
        </is>
      </c>
      <c r="B28" s="20">
        <f>IFERROR(AVERAGE(INDEX('Workout Log'!S:S,4):INDEX('Workout Log'!S:S,8))-AVERAGE(INDEX('Workout Log'!S:S,COUNTA('Workout Log'!A:A)-3):INDEX('Workout Log'!S:S,COUNTA('Workout Log'!A:A))),0)</f>
        <v/>
      </c>
    </row>
    <row r="29">
      <c r="A29" t="inlineStr">
        <is>
          <t>Avg HR Efficiency</t>
        </is>
      </c>
      <c r="B29" s="18">
        <f>AVERAGEIF(Analysis!L:L,"&gt;0")</f>
        <v/>
      </c>
    </row>
    <row r="30">
      <c r="A30" t="inlineStr">
        <is>
          <t>Z3+ Workouts (Aerobic+)</t>
        </is>
      </c>
      <c r="B30" s="12">
        <f>COUNTIFS(Analysis!K:K,"Z3")+COUNTIFS(Analysis!K:K,"Z4")+COUNTIFS(Analysis!K:K,"Z5")</f>
        <v/>
      </c>
    </row>
    <row r="32">
      <c r="A32" s="11" t="inlineStr">
        <is>
          <t>BODY METRICS</t>
        </is>
      </c>
    </row>
    <row r="33">
      <c r="A33" t="inlineStr">
        <is>
          <t>Starting Weight (kg)</t>
        </is>
      </c>
      <c r="B33" s="14">
        <f>Parameters!B25</f>
        <v/>
      </c>
    </row>
    <row r="34">
      <c r="A34" t="inlineStr">
        <is>
          <t>Current Weight (kg)</t>
        </is>
      </c>
      <c r="B34" s="14">
        <f>IFERROR(LOOKUP(2,1/('Workout Log'!T:T&lt;&gt;""),'Workout Log'!T:T),Parameters!B25)</f>
        <v/>
      </c>
    </row>
    <row r="35">
      <c r="A35" t="inlineStr">
        <is>
          <t>Weight Change (kg)</t>
        </is>
      </c>
      <c r="B35" s="20">
        <f>B34-B33</f>
        <v/>
      </c>
    </row>
    <row r="36">
      <c r="A36" t="inlineStr">
        <is>
          <t>Target Weight (kg)</t>
        </is>
      </c>
      <c r="B36" s="14">
        <f>Parameters!B26</f>
        <v/>
      </c>
    </row>
    <row r="37">
      <c r="A37" t="inlineStr">
        <is>
          <t>Weight to Target (kg)</t>
        </is>
      </c>
      <c r="B37" s="20">
        <f>B34-B36</f>
        <v/>
      </c>
    </row>
    <row r="38">
      <c r="A38" t="inlineStr">
        <is>
          <t>Avg Sleep (hrs)</t>
        </is>
      </c>
      <c r="B38" s="16">
        <f>AVERAGEIF('Workout Log'!R:R,"&gt;0")</f>
        <v/>
      </c>
    </row>
    <row r="39">
      <c r="A39" t="inlineStr">
        <is>
          <t>Avg Hydration (L)</t>
        </is>
      </c>
      <c r="B39" s="16">
        <f>AVERAGEIF('Workout Log'!U:U,"&gt;0")</f>
        <v/>
      </c>
    </row>
    <row r="45">
      <c r="A45" s="13" t="inlineStr">
        <is>
          <t>WEEKLY BREAKDOWN</t>
        </is>
      </c>
    </row>
    <row r="46">
      <c r="A46" s="21" t="inlineStr">
        <is>
          <t>Week</t>
        </is>
      </c>
      <c r="B46" s="21" t="inlineStr">
        <is>
          <t>Workouts</t>
        </is>
      </c>
      <c r="C46" s="21" t="inlineStr">
        <is>
          <t>Distance (km)</t>
        </is>
      </c>
      <c r="D46" s="21" t="inlineStr">
        <is>
          <t>Time (min)</t>
        </is>
      </c>
      <c r="E46" s="21" t="inlineStr">
        <is>
          <t>Avg Pace</t>
        </is>
      </c>
      <c r="F46" s="21" t="inlineStr">
        <is>
          <t>Avg HR</t>
        </is>
      </c>
      <c r="G46" s="21" t="inlineStr">
        <is>
          <t>Avg Quality</t>
        </is>
      </c>
    </row>
    <row r="47">
      <c r="A47" t="inlineStr">
        <is>
          <t>Week 1</t>
        </is>
      </c>
      <c r="B47">
        <f>COUNTIF(Analysis!B:B,1)</f>
        <v/>
      </c>
      <c r="C47" s="9">
        <f>SUMIF(Analysis!B:B,1,Analysis!D:D)</f>
        <v/>
      </c>
      <c r="D47" s="6">
        <f>SUMIF(Analysis!B:B,1,Analysis!E:E)</f>
        <v/>
      </c>
      <c r="E47" s="5">
        <f>IF(B47&gt;0,SUMIFS(Analysis!E:E,Analysis!B:B,1)/SUMIFS(Analysis!D:D,Analysis!B:B,1),"")</f>
        <v/>
      </c>
      <c r="F47" s="6">
        <f>IF(B47&gt;0,AVERAGEIFS('Workout Log'!G:G,'Workout Log'!B:B,1,'Workout Log'!G:G,"&gt;0"),"")</f>
        <v/>
      </c>
      <c r="G47" s="9">
        <f>IF(B47&gt;0,AVERAGEIFS(Analysis!I:I,Analysis!B:B,1,Analysis!I:I,"&gt;0"),"")</f>
        <v/>
      </c>
    </row>
    <row r="48">
      <c r="A48" t="inlineStr">
        <is>
          <t>Week 2</t>
        </is>
      </c>
      <c r="B48">
        <f>COUNTIF(Analysis!B:B,2)</f>
        <v/>
      </c>
      <c r="C48" s="9">
        <f>SUMIF(Analysis!B:B,2,Analysis!D:D)</f>
        <v/>
      </c>
      <c r="D48" s="6">
        <f>SUMIF(Analysis!B:B,2,Analysis!E:E)</f>
        <v/>
      </c>
      <c r="E48" s="5">
        <f>IF(B48&gt;0,SUMIFS(Analysis!E:E,Analysis!B:B,2)/SUMIFS(Analysis!D:D,Analysis!B:B,2),"")</f>
        <v/>
      </c>
      <c r="F48" s="6">
        <f>IF(B48&gt;0,AVERAGEIFS('Workout Log'!G:G,'Workout Log'!B:B,2,'Workout Log'!G:G,"&gt;0"),"")</f>
        <v/>
      </c>
      <c r="G48" s="9">
        <f>IF(B48&gt;0,AVERAGEIFS(Analysis!I:I,Analysis!B:B,2,Analysis!I:I,"&gt;0"),"")</f>
        <v/>
      </c>
    </row>
    <row r="49">
      <c r="A49" t="inlineStr">
        <is>
          <t>Week 3</t>
        </is>
      </c>
      <c r="B49">
        <f>COUNTIF(Analysis!B:B,3)</f>
        <v/>
      </c>
      <c r="C49" s="9">
        <f>SUMIF(Analysis!B:B,3,Analysis!D:D)</f>
        <v/>
      </c>
      <c r="D49" s="6">
        <f>SUMIF(Analysis!B:B,3,Analysis!E:E)</f>
        <v/>
      </c>
      <c r="E49" s="5">
        <f>IF(B49&gt;0,SUMIFS(Analysis!E:E,Analysis!B:B,3)/SUMIFS(Analysis!D:D,Analysis!B:B,3),"")</f>
        <v/>
      </c>
      <c r="F49" s="6">
        <f>IF(B49&gt;0,AVERAGEIFS('Workout Log'!G:G,'Workout Log'!B:B,3,'Workout Log'!G:G,"&gt;0"),"")</f>
        <v/>
      </c>
      <c r="G49" s="9">
        <f>IF(B49&gt;0,AVERAGEIFS(Analysis!I:I,Analysis!B:B,3,Analysis!I:I,"&gt;0"),"")</f>
        <v/>
      </c>
    </row>
    <row r="50">
      <c r="A50" t="inlineStr">
        <is>
          <t>Week 4</t>
        </is>
      </c>
      <c r="B50">
        <f>COUNTIF(Analysis!B:B,4)</f>
        <v/>
      </c>
      <c r="C50" s="9">
        <f>SUMIF(Analysis!B:B,4,Analysis!D:D)</f>
        <v/>
      </c>
      <c r="D50" s="6">
        <f>SUMIF(Analysis!B:B,4,Analysis!E:E)</f>
        <v/>
      </c>
      <c r="E50" s="5">
        <f>IF(B50&gt;0,SUMIFS(Analysis!E:E,Analysis!B:B,4)/SUMIFS(Analysis!D:D,Analysis!B:B,4),"")</f>
        <v/>
      </c>
      <c r="F50" s="6">
        <f>IF(B50&gt;0,AVERAGEIFS('Workout Log'!G:G,'Workout Log'!B:B,4,'Workout Log'!G:G,"&gt;0"),"")</f>
        <v/>
      </c>
      <c r="G50" s="9">
        <f>IF(B50&gt;0,AVERAGEIFS(Analysis!I:I,Analysis!B:B,4,Analysis!I:I,"&gt;0"),"")</f>
        <v/>
      </c>
    </row>
    <row r="51">
      <c r="A51" t="inlineStr">
        <is>
          <t>Week 5</t>
        </is>
      </c>
      <c r="B51">
        <f>COUNTIF(Analysis!B:B,5)</f>
        <v/>
      </c>
      <c r="C51" s="9">
        <f>SUMIF(Analysis!B:B,5,Analysis!D:D)</f>
        <v/>
      </c>
      <c r="D51" s="6">
        <f>SUMIF(Analysis!B:B,5,Analysis!E:E)</f>
        <v/>
      </c>
      <c r="E51" s="5">
        <f>IF(B51&gt;0,SUMIFS(Analysis!E:E,Analysis!B:B,5)/SUMIFS(Analysis!D:D,Analysis!B:B,5),"")</f>
        <v/>
      </c>
      <c r="F51" s="6">
        <f>IF(B51&gt;0,AVERAGEIFS('Workout Log'!G:G,'Workout Log'!B:B,5,'Workout Log'!G:G,"&gt;0"),"")</f>
        <v/>
      </c>
      <c r="G51" s="9">
        <f>IF(B51&gt;0,AVERAGEIFS(Analysis!I:I,Analysis!B:B,5,Analysis!I:I,"&gt;0"),"")</f>
        <v/>
      </c>
    </row>
    <row r="52">
      <c r="A52" t="inlineStr">
        <is>
          <t>Week 6</t>
        </is>
      </c>
      <c r="B52">
        <f>COUNTIF(Analysis!B:B,6)</f>
        <v/>
      </c>
      <c r="C52" s="9">
        <f>SUMIF(Analysis!B:B,6,Analysis!D:D)</f>
        <v/>
      </c>
      <c r="D52" s="6">
        <f>SUMIF(Analysis!B:B,6,Analysis!E:E)</f>
        <v/>
      </c>
      <c r="E52" s="5">
        <f>IF(B52&gt;0,SUMIFS(Analysis!E:E,Analysis!B:B,6)/SUMIFS(Analysis!D:D,Analysis!B:B,6),"")</f>
        <v/>
      </c>
      <c r="F52" s="6">
        <f>IF(B52&gt;0,AVERAGEIFS('Workout Log'!G:G,'Workout Log'!B:B,6,'Workout Log'!G:G,"&gt;0"),"")</f>
        <v/>
      </c>
      <c r="G52" s="9">
        <f>IF(B52&gt;0,AVERAGEIFS(Analysis!I:I,Analysis!B:B,6,Analysis!I:I,"&gt;0"),"")</f>
        <v/>
      </c>
    </row>
    <row r="53">
      <c r="A53" t="inlineStr">
        <is>
          <t>Week 7</t>
        </is>
      </c>
      <c r="B53">
        <f>COUNTIF(Analysis!B:B,7)</f>
        <v/>
      </c>
      <c r="C53" s="9">
        <f>SUMIF(Analysis!B:B,7,Analysis!D:D)</f>
        <v/>
      </c>
      <c r="D53" s="6">
        <f>SUMIF(Analysis!B:B,7,Analysis!E:E)</f>
        <v/>
      </c>
      <c r="E53" s="5">
        <f>IF(B53&gt;0,SUMIFS(Analysis!E:E,Analysis!B:B,7)/SUMIFS(Analysis!D:D,Analysis!B:B,7),"")</f>
        <v/>
      </c>
      <c r="F53" s="6">
        <f>IF(B53&gt;0,AVERAGEIFS('Workout Log'!G:G,'Workout Log'!B:B,7,'Workout Log'!G:G,"&gt;0"),"")</f>
        <v/>
      </c>
      <c r="G53" s="9">
        <f>IF(B53&gt;0,AVERAGEIFS(Analysis!I:I,Analysis!B:B,7,Analysis!I:I,"&gt;0"),"")</f>
        <v/>
      </c>
    </row>
    <row r="54">
      <c r="A54" t="inlineStr">
        <is>
          <t>Week 8</t>
        </is>
      </c>
      <c r="B54">
        <f>COUNTIF(Analysis!B:B,8)</f>
        <v/>
      </c>
      <c r="C54" s="9">
        <f>SUMIF(Analysis!B:B,8,Analysis!D:D)</f>
        <v/>
      </c>
      <c r="D54" s="6">
        <f>SUMIF(Analysis!B:B,8,Analysis!E:E)</f>
        <v/>
      </c>
      <c r="E54" s="5">
        <f>IF(B54&gt;0,SUMIFS(Analysis!E:E,Analysis!B:B,8)/SUMIFS(Analysis!D:D,Analysis!B:B,8),"")</f>
        <v/>
      </c>
      <c r="F54" s="6">
        <f>IF(B54&gt;0,AVERAGEIFS('Workout Log'!G:G,'Workout Log'!B:B,8,'Workout Log'!G:G,"&gt;0"),"")</f>
        <v/>
      </c>
      <c r="G54" s="9">
        <f>IF(B54&gt;0,AVERAGEIFS(Analysis!I:I,Analysis!B:B,8,Analysis!I:I,"&gt;0"),"")</f>
        <v/>
      </c>
    </row>
    <row r="55">
      <c r="A55" t="inlineStr">
        <is>
          <t>Week 9</t>
        </is>
      </c>
      <c r="B55">
        <f>COUNTIF(Analysis!B:B,9)</f>
        <v/>
      </c>
      <c r="C55" s="9">
        <f>SUMIF(Analysis!B:B,9,Analysis!D:D)</f>
        <v/>
      </c>
      <c r="D55" s="6">
        <f>SUMIF(Analysis!B:B,9,Analysis!E:E)</f>
        <v/>
      </c>
      <c r="E55" s="5">
        <f>IF(B55&gt;0,SUMIFS(Analysis!E:E,Analysis!B:B,9)/SUMIFS(Analysis!D:D,Analysis!B:B,9),"")</f>
        <v/>
      </c>
      <c r="F55" s="6">
        <f>IF(B55&gt;0,AVERAGEIFS('Workout Log'!G:G,'Workout Log'!B:B,9,'Workout Log'!G:G,"&gt;0"),"")</f>
        <v/>
      </c>
      <c r="G55" s="9">
        <f>IF(B55&gt;0,AVERAGEIFS(Analysis!I:I,Analysis!B:B,9,Analysis!I:I,"&gt;0"),"")</f>
        <v/>
      </c>
    </row>
    <row r="56">
      <c r="A56" t="inlineStr">
        <is>
          <t>Week 10</t>
        </is>
      </c>
      <c r="B56">
        <f>COUNTIF(Analysis!B:B,10)</f>
        <v/>
      </c>
      <c r="C56" s="9">
        <f>SUMIF(Analysis!B:B,10,Analysis!D:D)</f>
        <v/>
      </c>
      <c r="D56" s="6">
        <f>SUMIF(Analysis!B:B,10,Analysis!E:E)</f>
        <v/>
      </c>
      <c r="E56" s="5">
        <f>IF(B56&gt;0,SUMIFS(Analysis!E:E,Analysis!B:B,10)/SUMIFS(Analysis!D:D,Analysis!B:B,10),"")</f>
        <v/>
      </c>
      <c r="F56" s="6">
        <f>IF(B56&gt;0,AVERAGEIFS('Workout Log'!G:G,'Workout Log'!B:B,10,'Workout Log'!G:G,"&gt;0"),"")</f>
        <v/>
      </c>
      <c r="G56" s="9">
        <f>IF(B56&gt;0,AVERAGEIFS(Analysis!I:I,Analysis!B:B,10,Analysis!I:I,"&gt;0"),"")</f>
        <v/>
      </c>
    </row>
    <row r="57">
      <c r="A57" t="inlineStr">
        <is>
          <t>Week 11</t>
        </is>
      </c>
      <c r="B57">
        <f>COUNTIF(Analysis!B:B,11)</f>
        <v/>
      </c>
      <c r="C57" s="9">
        <f>SUMIF(Analysis!B:B,11,Analysis!D:D)</f>
        <v/>
      </c>
      <c r="D57" s="6">
        <f>SUMIF(Analysis!B:B,11,Analysis!E:E)</f>
        <v/>
      </c>
      <c r="E57" s="5">
        <f>IF(B57&gt;0,SUMIFS(Analysis!E:E,Analysis!B:B,11)/SUMIFS(Analysis!D:D,Analysis!B:B,11),"")</f>
        <v/>
      </c>
      <c r="F57" s="6">
        <f>IF(B57&gt;0,AVERAGEIFS('Workout Log'!G:G,'Workout Log'!B:B,11,'Workout Log'!G:G,"&gt;0"),"")</f>
        <v/>
      </c>
      <c r="G57" s="9">
        <f>IF(B57&gt;0,AVERAGEIFS(Analysis!I:I,Analysis!B:B,11,Analysis!I:I,"&gt;0"),"")</f>
        <v/>
      </c>
    </row>
    <row r="58">
      <c r="A58" t="inlineStr">
        <is>
          <t>Week 12</t>
        </is>
      </c>
      <c r="B58">
        <f>COUNTIF(Analysis!B:B,12)</f>
        <v/>
      </c>
      <c r="C58" s="9">
        <f>SUMIF(Analysis!B:B,12,Analysis!D:D)</f>
        <v/>
      </c>
      <c r="D58" s="6">
        <f>SUMIF(Analysis!B:B,12,Analysis!E:E)</f>
        <v/>
      </c>
      <c r="E58" s="5">
        <f>IF(B58&gt;0,SUMIFS(Analysis!E:E,Analysis!B:B,12)/SUMIFS(Analysis!D:D,Analysis!B:B,12),"")</f>
        <v/>
      </c>
      <c r="F58" s="6">
        <f>IF(B58&gt;0,AVERAGEIFS('Workout Log'!G:G,'Workout Log'!B:B,12,'Workout Log'!G:G,"&gt;0"),"")</f>
        <v/>
      </c>
      <c r="G58" s="9">
        <f>IF(B58&gt;0,AVERAGEIFS(Analysis!I:I,Analysis!B:B,12,Analysis!I:I,"&gt;0"),"")</f>
        <v/>
      </c>
    </row>
    <row r="59">
      <c r="A59" t="inlineStr">
        <is>
          <t>Week 13</t>
        </is>
      </c>
      <c r="B59">
        <f>COUNTIF(Analysis!B:B,13)</f>
        <v/>
      </c>
      <c r="C59" s="9">
        <f>SUMIF(Analysis!B:B,13,Analysis!D:D)</f>
        <v/>
      </c>
      <c r="D59" s="6">
        <f>SUMIF(Analysis!B:B,13,Analysis!E:E)</f>
        <v/>
      </c>
      <c r="E59" s="5">
        <f>IF(B59&gt;0,SUMIFS(Analysis!E:E,Analysis!B:B,13)/SUMIFS(Analysis!D:D,Analysis!B:B,13),"")</f>
        <v/>
      </c>
      <c r="F59" s="6">
        <f>IF(B59&gt;0,AVERAGEIFS('Workout Log'!G:G,'Workout Log'!B:B,13,'Workout Log'!G:G,"&gt;0"),"")</f>
        <v/>
      </c>
      <c r="G59" s="9">
        <f>IF(B59&gt;0,AVERAGEIFS(Analysis!I:I,Analysis!B:B,13,Analysis!I:I,"&gt;0"),"")</f>
        <v/>
      </c>
    </row>
  </sheetData>
  <mergeCells count="7">
    <mergeCell ref="A24:B24"/>
    <mergeCell ref="A1:F1"/>
    <mergeCell ref="A32:B32"/>
    <mergeCell ref="A14:B14"/>
    <mergeCell ref="D3:E3"/>
    <mergeCell ref="A3:B3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2026-01-24T02:27:13Z</dcterms:created>
  <dcterms:modified xsi:type="dcterms:W3CDTF">2026-01-24T02:38:31Z</dcterms:modified>
</cp:coreProperties>
</file>